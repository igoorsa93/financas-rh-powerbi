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goor\Desktop\Controle Pessoal\github-demo\"/>
    </mc:Choice>
  </mc:AlternateContent>
  <xr:revisionPtr revIDLastSave="0" documentId="13_ncr:1_{8B7006E1-ADD1-4AE5-A279-725F8CD37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_Funcionario" sheetId="1" r:id="rId1"/>
    <sheet name="Capa" sheetId="2" r:id="rId2"/>
    <sheet name="Funcionarios" sheetId="3" r:id="rId3"/>
    <sheet name="Liquidos" sheetId="4" r:id="rId4"/>
    <sheet name="Horas_Extras" sheetId="5" r:id="rId5"/>
    <sheet name="Faltas" sheetId="6" r:id="rId6"/>
    <sheet name="Atestados" sheetId="7" r:id="rId7"/>
    <sheet name="Faltas_Detalhado" sheetId="8" r:id="rId8"/>
    <sheet name="Rescisoes" sheetId="9" r:id="rId9"/>
    <sheet name="Rubricas_Folha" sheetId="10" r:id="rId10"/>
    <sheet name="Resumo_Departamento" sheetId="11" r:id="rId11"/>
    <sheet name="Resumo_Ger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B10" i="12"/>
  <c r="B9" i="12"/>
  <c r="B8" i="12"/>
  <c r="B7" i="12"/>
  <c r="B6" i="12"/>
  <c r="B5" i="12"/>
  <c r="E20" i="11"/>
  <c r="D20" i="11"/>
  <c r="E19" i="11"/>
  <c r="D19" i="11"/>
  <c r="F19" i="11" s="1"/>
  <c r="E18" i="11"/>
  <c r="D18" i="11"/>
  <c r="F18" i="11" s="1"/>
  <c r="E17" i="11"/>
  <c r="D17" i="11"/>
  <c r="F17" i="11" s="1"/>
  <c r="E16" i="11"/>
  <c r="D16" i="11"/>
  <c r="E15" i="11"/>
  <c r="D15" i="11"/>
  <c r="F15" i="11" s="1"/>
  <c r="E14" i="11"/>
  <c r="D14" i="11"/>
  <c r="F14" i="11" s="1"/>
  <c r="E13" i="11"/>
  <c r="D13" i="11"/>
  <c r="E12" i="11"/>
  <c r="D12" i="11"/>
  <c r="E11" i="11"/>
  <c r="D11" i="11"/>
  <c r="F11" i="11" s="1"/>
  <c r="E10" i="11"/>
  <c r="D10" i="11"/>
  <c r="F10" i="11" s="1"/>
  <c r="E9" i="11"/>
  <c r="D9" i="11"/>
  <c r="F9" i="11" s="1"/>
  <c r="B18" i="12" s="1"/>
  <c r="E8" i="11"/>
  <c r="D8" i="11"/>
  <c r="E7" i="11"/>
  <c r="D7" i="11"/>
  <c r="F7" i="11" s="1"/>
  <c r="E6" i="11"/>
  <c r="D6" i="11"/>
  <c r="F6" i="11" s="1"/>
  <c r="E5" i="11"/>
  <c r="D5" i="11"/>
  <c r="F5" i="11" s="1"/>
  <c r="B16" i="12" s="1"/>
  <c r="E4" i="11"/>
  <c r="D4" i="11"/>
  <c r="E3" i="11"/>
  <c r="D3" i="11"/>
  <c r="F3" i="11" s="1"/>
  <c r="N8" i="9"/>
  <c r="M8" i="9"/>
  <c r="N7" i="9"/>
  <c r="M7" i="9"/>
  <c r="N6" i="9"/>
  <c r="M6" i="9"/>
  <c r="N5" i="9"/>
  <c r="M5" i="9"/>
  <c r="N4" i="9"/>
  <c r="M4" i="9"/>
  <c r="N3" i="9"/>
  <c r="M3" i="9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I3" i="7"/>
  <c r="H3" i="7"/>
  <c r="G3" i="7"/>
  <c r="I38" i="6"/>
  <c r="H38" i="6"/>
  <c r="G38" i="6"/>
  <c r="I37" i="6"/>
  <c r="H37" i="6"/>
  <c r="G37" i="6"/>
  <c r="I36" i="6"/>
  <c r="H36" i="6"/>
  <c r="G36" i="6"/>
  <c r="I35" i="6"/>
  <c r="H35" i="6"/>
  <c r="G35" i="6"/>
  <c r="I34" i="6"/>
  <c r="H34" i="6"/>
  <c r="G34" i="6"/>
  <c r="I33" i="6"/>
  <c r="H33" i="6"/>
  <c r="G33" i="6"/>
  <c r="I32" i="6"/>
  <c r="H32" i="6"/>
  <c r="G32" i="6"/>
  <c r="I31" i="6"/>
  <c r="H31" i="6"/>
  <c r="G31" i="6"/>
  <c r="I30" i="6"/>
  <c r="H30" i="6"/>
  <c r="G30" i="6"/>
  <c r="I29" i="6"/>
  <c r="H29" i="6"/>
  <c r="G29" i="6"/>
  <c r="I28" i="6"/>
  <c r="H28" i="6"/>
  <c r="G28" i="6"/>
  <c r="I27" i="6"/>
  <c r="H27" i="6"/>
  <c r="G27" i="6"/>
  <c r="I26" i="6"/>
  <c r="H26" i="6"/>
  <c r="G26" i="6"/>
  <c r="I25" i="6"/>
  <c r="H25" i="6"/>
  <c r="G25" i="6"/>
  <c r="I24" i="6"/>
  <c r="H24" i="6"/>
  <c r="G24" i="6"/>
  <c r="I23" i="6"/>
  <c r="H23" i="6"/>
  <c r="G23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I4" i="6"/>
  <c r="H4" i="6"/>
  <c r="G4" i="6"/>
  <c r="I3" i="6"/>
  <c r="H3" i="6"/>
  <c r="G3" i="6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C20" i="1"/>
  <c r="C19" i="1"/>
  <c r="C18" i="1"/>
  <c r="C17" i="1"/>
  <c r="C16" i="1"/>
  <c r="C14" i="1"/>
  <c r="C13" i="1"/>
  <c r="C12" i="1"/>
  <c r="C11" i="1"/>
  <c r="C10" i="1"/>
  <c r="C9" i="1"/>
  <c r="C8" i="1"/>
  <c r="C7" i="1"/>
  <c r="F4" i="11" l="1"/>
  <c r="B15" i="12" s="1"/>
  <c r="F20" i="11"/>
  <c r="B23" i="12" s="1"/>
  <c r="F16" i="11"/>
  <c r="B21" i="12" s="1"/>
  <c r="F12" i="11"/>
  <c r="F8" i="11"/>
  <c r="B17" i="12" s="1"/>
  <c r="F13" i="11"/>
  <c r="B20" i="12" s="1"/>
  <c r="B4" i="12"/>
  <c r="B19" i="12"/>
  <c r="B22" i="12"/>
</calcChain>
</file>

<file path=xl/sharedStrings.xml><?xml version="1.0" encoding="utf-8"?>
<sst xmlns="http://schemas.openxmlformats.org/spreadsheetml/2006/main" count="1733" uniqueCount="281">
  <si>
    <t>Ficha do Funcionario</t>
  </si>
  <si>
    <t>Selecione o Codigo do funcionario na celula abaixo (dropdown) para ver todos os dados vinculados.</t>
  </si>
  <si>
    <t>Codigo:</t>
  </si>
  <si>
    <t>Nome</t>
  </si>
  <si>
    <t>Cargo</t>
  </si>
  <si>
    <t>Admissao</t>
  </si>
  <si>
    <t>Salario</t>
  </si>
  <si>
    <t>Departamento</t>
  </si>
  <si>
    <t>C. de Custo</t>
  </si>
  <si>
    <t>Nascimento</t>
  </si>
  <si>
    <t>Sexo</t>
  </si>
  <si>
    <t>Total Liquido Recebido (todas as folhas)</t>
  </si>
  <si>
    <t>Total Horas Extras (valor)</t>
  </si>
  <si>
    <t>Faltas (h)</t>
  </si>
  <si>
    <t>Atestados (h)</t>
  </si>
  <si>
    <t>Rescisao (se houver) - Liquido</t>
  </si>
  <si>
    <t>ACME PRE-MOLDADOS INTELIGENTES LTDA (DADOS FICTICIOS)</t>
  </si>
  <si>
    <t>Controle de Folha de Pagamento - Consolidado RH</t>
  </si>
  <si>
    <t>Competencia: 05/2026 (fictício)</t>
  </si>
  <si>
    <t>Abas do workbook</t>
  </si>
  <si>
    <t>Ficha_Funcionario</t>
  </si>
  <si>
    <t>Consulta individual: selecione o codigo e veja tudo vinculado</t>
  </si>
  <si>
    <t>Funcionarios</t>
  </si>
  <si>
    <t>Cadastro completo (fonte de todos os vinculos)</t>
  </si>
  <si>
    <t>Liquidos</t>
  </si>
  <si>
    <t>Valores liquidos pagos por funcionario (Normal Principal/Quinzena/Extra)</t>
  </si>
  <si>
    <t>Horas_Extras</t>
  </si>
  <si>
    <t>Horas extras trabalhadas e valores</t>
  </si>
  <si>
    <t>Faltas / Atestados</t>
  </si>
  <si>
    <t>Absenteismo por funcionario</t>
  </si>
  <si>
    <t>Faltas_Detalhado</t>
  </si>
  <si>
    <t>Movimentos de falta por rubrica</t>
  </si>
  <si>
    <t>Rescisoes</t>
  </si>
  <si>
    <t>Rescisoes calculadas no periodo</t>
  </si>
  <si>
    <t>Rubricas_Folha</t>
  </si>
  <si>
    <t>Proventos/descontos por departamento e rubrica</t>
  </si>
  <si>
    <t>Resumo_Departamento</t>
  </si>
  <si>
    <t>Totais por departamento</t>
  </si>
  <si>
    <t>Resumo_Geral</t>
  </si>
  <si>
    <t>KPIs consolidados (formulas)</t>
  </si>
  <si>
    <t>AVISO: todos os dados neste arquivo sao ficticios, gerados para fins de demonstracao/portfolio.</t>
  </si>
  <si>
    <t>ACME - Cadastro de Funcionarios</t>
  </si>
  <si>
    <t>Codigo</t>
  </si>
  <si>
    <t>Servico</t>
  </si>
  <si>
    <t>C_de_Custo</t>
  </si>
  <si>
    <t>JOAO CAVALCANTE CASTRO FILHO</t>
  </si>
  <si>
    <t>Assistente Administrativo</t>
  </si>
  <si>
    <t>2015-05-11</t>
  </si>
  <si>
    <t>Administracao - Fabrica</t>
  </si>
  <si>
    <t>Fabrica ACME</t>
  </si>
  <si>
    <t>1966-05-04</t>
  </si>
  <si>
    <t>Masculino</t>
  </si>
  <si>
    <t>LEANDRO CORREIA XAVIER</t>
  </si>
  <si>
    <t>Auxiliar de Producao</t>
  </si>
  <si>
    <t>2021-08-10</t>
  </si>
  <si>
    <t>Pre-Moldados</t>
  </si>
  <si>
    <t>Producao ACME</t>
  </si>
  <si>
    <t>1977-06-24</t>
  </si>
  <si>
    <t>SERGIO CARVALHO MENDES</t>
  </si>
  <si>
    <t>Operador de Maquinas</t>
  </si>
  <si>
    <t>2019-04-06</t>
  </si>
  <si>
    <t>Operacional</t>
  </si>
  <si>
    <t>Operacional ACME</t>
  </si>
  <si>
    <t>1969-05-04</t>
  </si>
  <si>
    <t>ANA CAVALCANTE SALES</t>
  </si>
  <si>
    <t>Servente de Obras</t>
  </si>
  <si>
    <t>2024-04-20</t>
  </si>
  <si>
    <t>ACME_OPERACIONAL_DIARIA</t>
  </si>
  <si>
    <t>1993-03-14</t>
  </si>
  <si>
    <t>Feminino</t>
  </si>
  <si>
    <t>SERGIO DE OLIVEIRA REIS</t>
  </si>
  <si>
    <t>Gerente Administrativo</t>
  </si>
  <si>
    <t>2024-09-19</t>
  </si>
  <si>
    <t>ACME_ADM DA FABRICA</t>
  </si>
  <si>
    <t>1969-07-13</t>
  </si>
  <si>
    <t>CRISTINA RIBEIRO PINTO</t>
  </si>
  <si>
    <t>2022-08-31</t>
  </si>
  <si>
    <t>1994-01-26</t>
  </si>
  <si>
    <t>MARCELO CAVALCANTE DIAS MONTEIRO</t>
  </si>
  <si>
    <t>Supervisor de Producao</t>
  </si>
  <si>
    <t>2017-06-18</t>
  </si>
  <si>
    <t>1995-09-17</t>
  </si>
  <si>
    <t>RICARDO DOS SANTOS MENDES</t>
  </si>
  <si>
    <t>Auxiliar Administrativo</t>
  </si>
  <si>
    <t>2021-05-12</t>
  </si>
  <si>
    <t>2004-04-24</t>
  </si>
  <si>
    <t>AMANDA TEIXEIRA SALES FILHO</t>
  </si>
  <si>
    <t>2019-10-21</t>
  </si>
  <si>
    <t>2005-04-10</t>
  </si>
  <si>
    <t>ANTONIO ARAUJO GUIMARAES REIS</t>
  </si>
  <si>
    <t>2023-11-19</t>
  </si>
  <si>
    <t>1995-07-12</t>
  </si>
  <si>
    <t>GUSTAVO MARTINS FARIAS</t>
  </si>
  <si>
    <t>2024-08-26</t>
  </si>
  <si>
    <t>1965-07-08</t>
  </si>
  <si>
    <t>DEBORA TEIXEIRA MENDES BATISTA</t>
  </si>
  <si>
    <t>2023-02-05</t>
  </si>
  <si>
    <t>Apoio a Producao</t>
  </si>
  <si>
    <t>2004-04-15</t>
  </si>
  <si>
    <t>LEANDRO SOUZA FREITAS</t>
  </si>
  <si>
    <t>Soldador</t>
  </si>
  <si>
    <t>2023-07-21</t>
  </si>
  <si>
    <t>1972-03-31</t>
  </si>
  <si>
    <t>LETICIA DA SILVA NETO</t>
  </si>
  <si>
    <t>2024-11-05</t>
  </si>
  <si>
    <t>1990-06-14</t>
  </si>
  <si>
    <t>FRANCISCA NUNES PEIXOTO</t>
  </si>
  <si>
    <t>Almoxarife</t>
  </si>
  <si>
    <t>2021-03-01</t>
  </si>
  <si>
    <t>1972-05-29</t>
  </si>
  <si>
    <t>MARCIA NASCIMENTO ROCHA</t>
  </si>
  <si>
    <t>2019-11-30</t>
  </si>
  <si>
    <t>2005-05-10</t>
  </si>
  <si>
    <t>RICARDO DE OLIVEIRA MENDES PEIXOTO</t>
  </si>
  <si>
    <t>2022-12-09</t>
  </si>
  <si>
    <t>1993-04-23</t>
  </si>
  <si>
    <t>CARLOS COSTA JUNIOR</t>
  </si>
  <si>
    <t>2021-01-17</t>
  </si>
  <si>
    <t>1970-12-08</t>
  </si>
  <si>
    <t>BRUNA ALVES NETO BATISTA</t>
  </si>
  <si>
    <t>2024-09-08</t>
  </si>
  <si>
    <t>ACME_DP/RH</t>
  </si>
  <si>
    <t>DP/RH ACME</t>
  </si>
  <si>
    <t>1997-09-15</t>
  </si>
  <si>
    <t>CARLOS MARTINS MENDES</t>
  </si>
  <si>
    <t>2021-01-05</t>
  </si>
  <si>
    <t>1985-02-15</t>
  </si>
  <si>
    <t>EDUARDO ALMEIDA DIAS</t>
  </si>
  <si>
    <t>Auxiliar de Almoxarifado</t>
  </si>
  <si>
    <t>2024-08-07</t>
  </si>
  <si>
    <t>1989-09-08</t>
  </si>
  <si>
    <t>MARCOS NUNES DIAS GUIMARAES</t>
  </si>
  <si>
    <t>2025-02-13</t>
  </si>
  <si>
    <t>ACME_PRODUCAO</t>
  </si>
  <si>
    <t>1967-08-19</t>
  </si>
  <si>
    <t>GUSTAVO LIMA SALES</t>
  </si>
  <si>
    <t>2018-04-30</t>
  </si>
  <si>
    <t>1974-10-07</t>
  </si>
  <si>
    <t>WAGNER COSTA REIS GUIMARAES</t>
  </si>
  <si>
    <t>2020-09-11</t>
  </si>
  <si>
    <t>1968-08-05</t>
  </si>
  <si>
    <t>RENATO PEREIRA MONTEIRO BEZERRA</t>
  </si>
  <si>
    <t>Pedreiro</t>
  </si>
  <si>
    <t>2019-09-14</t>
  </si>
  <si>
    <t>1994-06-28</t>
  </si>
  <si>
    <t>RENATO MOREIRA MENDES MONTEIRO</t>
  </si>
  <si>
    <t>2020-02-16</t>
  </si>
  <si>
    <t>1979-03-09</t>
  </si>
  <si>
    <t>TATIANE CARDOSO NETO ROCHA</t>
  </si>
  <si>
    <t>2018-11-30</t>
  </si>
  <si>
    <t>2004-07-07</t>
  </si>
  <si>
    <t>JULIANA ALMEIDA PEIXOTO</t>
  </si>
  <si>
    <t>2021-03-21</t>
  </si>
  <si>
    <t>1978-06-07</t>
  </si>
  <si>
    <t>ANTONIA SOUZA PEIXOTO FREITAS</t>
  </si>
  <si>
    <t>2022-02-10</t>
  </si>
  <si>
    <t>2003-04-06</t>
  </si>
  <si>
    <t>PATRICIA DOS SANTOS JUNIOR</t>
  </si>
  <si>
    <t>2023-08-25</t>
  </si>
  <si>
    <t>1970-11-14</t>
  </si>
  <si>
    <t>SIMONE MOREIRA BATISTA</t>
  </si>
  <si>
    <t>2022-10-01</t>
  </si>
  <si>
    <t>2005-07-19</t>
  </si>
  <si>
    <t>FERNANDO CARDOSO PEIXOTO FILHO</t>
  </si>
  <si>
    <t>2025-06-18</t>
  </si>
  <si>
    <t>Administracao - Escritorio</t>
  </si>
  <si>
    <t>Escritorio ACME</t>
  </si>
  <si>
    <t>2000-09-17</t>
  </si>
  <si>
    <t>RENATO PEREIRA NETO</t>
  </si>
  <si>
    <t>2023-05-28</t>
  </si>
  <si>
    <t>1971-12-08</t>
  </si>
  <si>
    <t>MARIA FERREIRA MENDES</t>
  </si>
  <si>
    <t>2024-02-03</t>
  </si>
  <si>
    <t>1976-02-18</t>
  </si>
  <si>
    <t>GUSTAVO DOS SANTOS GUIMARAES SALES</t>
  </si>
  <si>
    <t>2024-10-08</t>
  </si>
  <si>
    <t>1975-03-18</t>
  </si>
  <si>
    <t>GUSTAVO COSTA CASTRO</t>
  </si>
  <si>
    <t>2019-06-26</t>
  </si>
  <si>
    <t>1995-06-26</t>
  </si>
  <si>
    <t>ACME - Valores Liquidos Pagos</t>
  </si>
  <si>
    <t>Departamento_Num</t>
  </si>
  <si>
    <t>Valor</t>
  </si>
  <si>
    <t>Data_Pagamento</t>
  </si>
  <si>
    <t>Tipo Folha</t>
  </si>
  <si>
    <t>Cargo (vinculo)</t>
  </si>
  <si>
    <t>C. de Custo (vinculo)</t>
  </si>
  <si>
    <t>2026-06-01</t>
  </si>
  <si>
    <t>Normal Principal</t>
  </si>
  <si>
    <t>Normal Quinzena</t>
  </si>
  <si>
    <t>Extra</t>
  </si>
  <si>
    <t>ACME - Horas Extras</t>
  </si>
  <si>
    <t>Rubrica_Num</t>
  </si>
  <si>
    <t>Rubrica_Nome</t>
  </si>
  <si>
    <t>Competencia</t>
  </si>
  <si>
    <t>Valor_Calculado</t>
  </si>
  <si>
    <t>Horas</t>
  </si>
  <si>
    <t>Tipo_Movimento</t>
  </si>
  <si>
    <t>Unidade</t>
  </si>
  <si>
    <t>HORAS EXTRAS 100%</t>
  </si>
  <si>
    <t>05/2026</t>
  </si>
  <si>
    <t>P</t>
  </si>
  <si>
    <t>Normal</t>
  </si>
  <si>
    <t>HORAS EXTRAS 50%</t>
  </si>
  <si>
    <t>HORAS EXTRAS NOTURNAS</t>
  </si>
  <si>
    <t>ACME - Faltas</t>
  </si>
  <si>
    <t>Funcionario</t>
  </si>
  <si>
    <t>Previstas_h</t>
  </si>
  <si>
    <t>Trabalhadas_h</t>
  </si>
  <si>
    <t>Ausencias_h</t>
  </si>
  <si>
    <t>Pct_Ausencias</t>
  </si>
  <si>
    <t>Tipo</t>
  </si>
  <si>
    <t>Codigo (vinculo)</t>
  </si>
  <si>
    <t>Departamento (vinculo)</t>
  </si>
  <si>
    <t>Faltas</t>
  </si>
  <si>
    <t>ACME - Atestados</t>
  </si>
  <si>
    <t>Atestados</t>
  </si>
  <si>
    <t>ACME - Faltas Detalhado</t>
  </si>
  <si>
    <t>HORAS FALTAS</t>
  </si>
  <si>
    <t>D</t>
  </si>
  <si>
    <t>FALTAS INJUSTIFICADAS</t>
  </si>
  <si>
    <t>ACME - Rescisoes</t>
  </si>
  <si>
    <t>Empregado</t>
  </si>
  <si>
    <t>Aviso</t>
  </si>
  <si>
    <t>Demissao</t>
  </si>
  <si>
    <t>Saldo_FGTS</t>
  </si>
  <si>
    <t>Proventos</t>
  </si>
  <si>
    <t>Descontos</t>
  </si>
  <si>
    <t>Liquido</t>
  </si>
  <si>
    <t>FGTS_Rescisorio</t>
  </si>
  <si>
    <t>Motivo_Demissao</t>
  </si>
  <si>
    <t>2026-05-08</t>
  </si>
  <si>
    <t>2026-05-09</t>
  </si>
  <si>
    <t>Dispensa sem justa causa</t>
  </si>
  <si>
    <t>2026-04-26</t>
  </si>
  <si>
    <t>2026-05-10</t>
  </si>
  <si>
    <t>Pedido de Demissao</t>
  </si>
  <si>
    <t>2026-05-02</t>
  </si>
  <si>
    <t>2026-05-17</t>
  </si>
  <si>
    <t>Termino de Contrato</t>
  </si>
  <si>
    <t>2026-05-07</t>
  </si>
  <si>
    <t>2026-05-22</t>
  </si>
  <si>
    <t>Resc. cont. exp. antec. empregador</t>
  </si>
  <si>
    <t>2026-05-23</t>
  </si>
  <si>
    <t>ACME - Rubricas da Folha</t>
  </si>
  <si>
    <t>N_Empregados</t>
  </si>
  <si>
    <t>Valor_Informado</t>
  </si>
  <si>
    <t>HORAS NORMAIS</t>
  </si>
  <si>
    <t>Provento</t>
  </si>
  <si>
    <t>ADICIONAL NOTURNO</t>
  </si>
  <si>
    <t>DSR SOBRE HORAS EXTRAS</t>
  </si>
  <si>
    <t>INSS</t>
  </si>
  <si>
    <t>Desconto</t>
  </si>
  <si>
    <t>IRRF</t>
  </si>
  <si>
    <t>VALE TRANSPORTE</t>
  </si>
  <si>
    <t>VALE ALIMENTACAO</t>
  </si>
  <si>
    <t>ACME - Resumo por Departamento</t>
  </si>
  <si>
    <t>Total_Proventos</t>
  </si>
  <si>
    <t>Total_Descontos</t>
  </si>
  <si>
    <t>Liquido_Depto</t>
  </si>
  <si>
    <t>Resumo Geral - Folha de Pagamento (Competencia 05/2026)</t>
  </si>
  <si>
    <t>Indicador</t>
  </si>
  <si>
    <t>Observacao</t>
  </si>
  <si>
    <t>Total Liquido Geral (Resumo_Departamento)</t>
  </si>
  <si>
    <t>Soma de Liquido_Depto (todas as folhas Normal+Extra), fonte: Resumo Mensal GERAL</t>
  </si>
  <si>
    <t>Total Liquido Geral (Liquidos - Normal Principal+Quinzena+Extra)</t>
  </si>
  <si>
    <t>Soma de Valor pago em Liquidos (3 relatorios de liquidos)</t>
  </si>
  <si>
    <t>Total de Funcionarios Ativos</t>
  </si>
  <si>
    <t>Contagem de linhas em Funcionarios (Relacao de Empregados)</t>
  </si>
  <si>
    <t>Total Horas Extras (horas)</t>
  </si>
  <si>
    <t>Soma da coluna Horas em Horas_Extras (folhas Normal+Extra)</t>
  </si>
  <si>
    <t>Total Horas Extras (R$ calculado)</t>
  </si>
  <si>
    <t>Soma da coluna Valor_Calculado em Horas_Extras</t>
  </si>
  <si>
    <t>Total Faltas (horas)</t>
  </si>
  <si>
    <t>Soma de Ausencias_h em Faltas (RELACAO DE FALTAS)</t>
  </si>
  <si>
    <t>Total Atestados (horas)</t>
  </si>
  <si>
    <t>Soma de Ausencias_h em Atestados (RELACAO DE ATESTADOS)</t>
  </si>
  <si>
    <t>Total Rescisoes (R$ Liquido)</t>
  </si>
  <si>
    <t>Soma de Liquido em Rescisoes</t>
  </si>
  <si>
    <t>Total Liquido por Departamento (Normal + Extra)</t>
  </si>
  <si>
    <t>Liquido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</si>
</sst>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153E24"/>
      <name val="Arial"/>
    </font>
    <font>
      <b/>
      <sz val="13"/>
      <name val="Arial"/>
    </font>
    <font>
      <sz val="11"/>
      <name val="Arial"/>
    </font>
    <font>
      <b/>
      <sz val="12"/>
      <name val="Arial"/>
    </font>
    <font>
      <b/>
      <sz val="11"/>
      <name val="Arial"/>
    </font>
    <font>
      <sz val="10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b/>
      <sz val="11"/>
      <name val="Calibri"/>
    </font>
    <font>
      <b/>
      <sz val="14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0" fillId="0" borderId="0" xfId="0" applyFont="1"/>
    <xf numFmtId="0" fontId="11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tabSelected="1" workbookViewId="0"/>
  </sheetViews>
  <sheetFormatPr defaultRowHeight="14.4" x14ac:dyDescent="0.3"/>
  <cols>
    <col min="1" max="1" width="3" customWidth="1"/>
    <col min="2" max="2" width="38" customWidth="1"/>
    <col min="3" max="3" width="30" customWidth="1"/>
    <col min="4" max="4" width="3" customWidth="1"/>
  </cols>
  <sheetData>
    <row r="2" spans="2:3" ht="17.399999999999999" customHeight="1" x14ac:dyDescent="0.3">
      <c r="B2" s="1" t="s">
        <v>0</v>
      </c>
    </row>
    <row r="3" spans="2:3" x14ac:dyDescent="0.3">
      <c r="B3" s="2" t="s">
        <v>1</v>
      </c>
    </row>
    <row r="5" spans="2:3" x14ac:dyDescent="0.3">
      <c r="B5" t="s">
        <v>2</v>
      </c>
      <c r="C5">
        <v>263</v>
      </c>
    </row>
    <row r="7" spans="2:3" x14ac:dyDescent="0.3">
      <c r="B7" s="3" t="s">
        <v>3</v>
      </c>
      <c r="C7" t="str">
        <f>IFERROR(INDEX(Funcionarios!$B$3:$B$38,MATCH($C$5,Funcionarios!$A$3:$A$38,0)),"")</f>
        <v>JOAO CAVALCANTE CASTRO FILHO</v>
      </c>
    </row>
    <row r="8" spans="2:3" x14ac:dyDescent="0.3">
      <c r="B8" s="3" t="s">
        <v>4</v>
      </c>
      <c r="C8" t="str">
        <f>IFERROR(INDEX(Funcionarios!$C$3:$C$38,MATCH($C$5,Funcionarios!$A$3:$A$38,0)),"")</f>
        <v>Assistente Administrativo</v>
      </c>
    </row>
    <row r="9" spans="2:3" x14ac:dyDescent="0.3">
      <c r="B9" s="3" t="s">
        <v>5</v>
      </c>
      <c r="C9" t="str">
        <f>IFERROR(INDEX(Funcionarios!$D$3:$D$38,MATCH($C$5,Funcionarios!$A$3:$A$38,0)),"")</f>
        <v>2015-05-11</v>
      </c>
    </row>
    <row r="10" spans="2:3" x14ac:dyDescent="0.3">
      <c r="B10" s="3" t="s">
        <v>6</v>
      </c>
      <c r="C10">
        <f>IFERROR(INDEX(Funcionarios!$E$3:$E$38,MATCH($C$5,Funcionarios!$A$3:$A$38,0)),"")</f>
        <v>2470</v>
      </c>
    </row>
    <row r="11" spans="2:3" x14ac:dyDescent="0.3">
      <c r="B11" s="3" t="s">
        <v>7</v>
      </c>
      <c r="C11" t="str">
        <f>IFERROR(INDEX(Funcionarios!$G$3:$G$38,MATCH($C$5,Funcionarios!$A$3:$A$38,0)),"")</f>
        <v>Administracao - Fabrica</v>
      </c>
    </row>
    <row r="12" spans="2:3" x14ac:dyDescent="0.3">
      <c r="B12" s="3" t="s">
        <v>8</v>
      </c>
      <c r="C12" t="str">
        <f>IFERROR(INDEX(Funcionarios!$H$3:$H$38,MATCH($C$5,Funcionarios!$A$3:$A$38,0)),"")</f>
        <v>Fabrica ACME</v>
      </c>
    </row>
    <row r="13" spans="2:3" x14ac:dyDescent="0.3">
      <c r="B13" s="3" t="s">
        <v>9</v>
      </c>
      <c r="C13" t="str">
        <f>IFERROR(INDEX(Funcionarios!$I$3:$I$38,MATCH($C$5,Funcionarios!$A$3:$A$38,0)),"")</f>
        <v>1966-05-04</v>
      </c>
    </row>
    <row r="14" spans="2:3" x14ac:dyDescent="0.3">
      <c r="B14" s="3" t="s">
        <v>10</v>
      </c>
      <c r="C14" t="str">
        <f>IFERROR(INDEX(Funcionarios!$J$3:$J$38,MATCH($C$5,Funcionarios!$A$3:$A$38,0)),"")</f>
        <v>Masculino</v>
      </c>
    </row>
    <row r="15" spans="2:3" x14ac:dyDescent="0.3">
      <c r="B15" s="3"/>
    </row>
    <row r="16" spans="2:3" x14ac:dyDescent="0.3">
      <c r="B16" s="3" t="s">
        <v>11</v>
      </c>
      <c r="C16">
        <f>SUMIF(Liquidos!$C:$C,$C$5,Liquidos!$E:$E)</f>
        <v>2918.18</v>
      </c>
    </row>
    <row r="17" spans="2:3" x14ac:dyDescent="0.3">
      <c r="B17" s="3" t="s">
        <v>12</v>
      </c>
      <c r="C17">
        <f>SUMIF(Horas_Extras!$C:$C,$C$5,Horas_Extras!$H:$H)</f>
        <v>155.61000000000001</v>
      </c>
    </row>
    <row r="18" spans="2:3" x14ac:dyDescent="0.3">
      <c r="B18" s="3" t="s">
        <v>13</v>
      </c>
      <c r="C18">
        <f>IFERROR(INDEX(Faltas!$D$3:$D$38,MATCH(INDEX(Funcionarios!$B$3:$B$38,MATCH($C$5,Funcionarios!$A$3:$A$38,0)),Faltas!$A$3:$A$38,0)),"")</f>
        <v>5.03</v>
      </c>
    </row>
    <row r="19" spans="2:3" x14ac:dyDescent="0.3">
      <c r="B19" s="3" t="s">
        <v>14</v>
      </c>
      <c r="C19">
        <f>IFERROR(INDEX(Atestados!$D$3:$D$38,MATCH(INDEX(Funcionarios!$B$3:$B$38,MATCH($C$5,Funcionarios!$A$3:$A$38,0)),Atestados!$A$3:$A$38,0)),"")</f>
        <v>0</v>
      </c>
    </row>
    <row r="20" spans="2:3" x14ac:dyDescent="0.3">
      <c r="B20" s="3" t="s">
        <v>15</v>
      </c>
      <c r="C20" t="str">
        <f>IFERROR(INDEX(Rescisoes!$J$3:$J$8,MATCH($C$5,Rescisoes!$A$3:$A$8,0)),"Nao rescindido")</f>
        <v>Nao rescindido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D22"/>
  <sheetViews>
    <sheetView workbookViewId="0"/>
  </sheetViews>
  <sheetFormatPr defaultRowHeight="14.4" x14ac:dyDescent="0.3"/>
  <cols>
    <col min="1" max="1" width="3" customWidth="1"/>
    <col min="2" max="2" width="32" customWidth="1"/>
    <col min="3" max="3" width="3" customWidth="1"/>
    <col min="4" max="4" width="60" customWidth="1"/>
  </cols>
  <sheetData>
    <row r="5" spans="2:4" ht="24.6" customHeight="1" x14ac:dyDescent="0.4">
      <c r="B5" s="4" t="s">
        <v>16</v>
      </c>
    </row>
    <row r="6" spans="2:4" ht="16.8" customHeight="1" x14ac:dyDescent="0.3">
      <c r="B6" s="5" t="s">
        <v>17</v>
      </c>
    </row>
    <row r="7" spans="2:4" x14ac:dyDescent="0.3">
      <c r="B7" s="6" t="s">
        <v>18</v>
      </c>
    </row>
    <row r="9" spans="2:4" ht="15.6" customHeight="1" x14ac:dyDescent="0.3">
      <c r="B9" s="7" t="s">
        <v>19</v>
      </c>
    </row>
    <row r="10" spans="2:4" x14ac:dyDescent="0.3">
      <c r="B10" s="3" t="s">
        <v>20</v>
      </c>
      <c r="D10" s="8" t="s">
        <v>21</v>
      </c>
    </row>
    <row r="11" spans="2:4" x14ac:dyDescent="0.3">
      <c r="B11" s="3" t="s">
        <v>22</v>
      </c>
      <c r="D11" s="8" t="s">
        <v>23</v>
      </c>
    </row>
    <row r="12" spans="2:4" x14ac:dyDescent="0.3">
      <c r="B12" s="3" t="s">
        <v>24</v>
      </c>
      <c r="D12" s="8" t="s">
        <v>25</v>
      </c>
    </row>
    <row r="13" spans="2:4" x14ac:dyDescent="0.3">
      <c r="B13" s="3" t="s">
        <v>26</v>
      </c>
      <c r="D13" s="8" t="s">
        <v>27</v>
      </c>
    </row>
    <row r="14" spans="2:4" x14ac:dyDescent="0.3">
      <c r="B14" s="3" t="s">
        <v>28</v>
      </c>
      <c r="D14" s="8" t="s">
        <v>29</v>
      </c>
    </row>
    <row r="15" spans="2:4" x14ac:dyDescent="0.3">
      <c r="B15" s="3" t="s">
        <v>30</v>
      </c>
      <c r="D15" s="8" t="s">
        <v>31</v>
      </c>
    </row>
    <row r="16" spans="2:4" x14ac:dyDescent="0.3">
      <c r="B16" s="3" t="s">
        <v>32</v>
      </c>
      <c r="D16" s="8" t="s">
        <v>33</v>
      </c>
    </row>
    <row r="17" spans="2:4" x14ac:dyDescent="0.3">
      <c r="B17" s="3" t="s">
        <v>34</v>
      </c>
      <c r="D17" s="8" t="s">
        <v>35</v>
      </c>
    </row>
    <row r="18" spans="2:4" x14ac:dyDescent="0.3">
      <c r="B18" s="3" t="s">
        <v>36</v>
      </c>
      <c r="D18" s="8" t="s">
        <v>37</v>
      </c>
    </row>
    <row r="19" spans="2:4" x14ac:dyDescent="0.3">
      <c r="B19" s="3" t="s">
        <v>38</v>
      </c>
      <c r="D19" s="8" t="s">
        <v>39</v>
      </c>
    </row>
    <row r="22" spans="2:4" x14ac:dyDescent="0.3">
      <c r="B22" s="9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workbookViewId="0"/>
  </sheetViews>
  <sheetFormatPr defaultRowHeight="14.4" x14ac:dyDescent="0.3"/>
  <cols>
    <col min="1" max="1" width="8" customWidth="1"/>
    <col min="2" max="2" width="34" customWidth="1"/>
    <col min="3" max="3" width="24" customWidth="1"/>
    <col min="4" max="4" width="12" customWidth="1"/>
    <col min="5" max="5" width="10" customWidth="1"/>
    <col min="6" max="6" width="8" customWidth="1"/>
    <col min="7" max="7" width="26" customWidth="1"/>
    <col min="8" max="8" width="18" customWidth="1"/>
    <col min="9" max="9" width="12" customWidth="1"/>
    <col min="10" max="10" width="10" customWidth="1"/>
  </cols>
  <sheetData>
    <row r="1" spans="1:10" ht="15.6" customHeight="1" x14ac:dyDescent="0.3">
      <c r="A1" s="7" t="s">
        <v>41</v>
      </c>
    </row>
    <row r="2" spans="1:10" x14ac:dyDescent="0.3">
      <c r="A2" s="10" t="s">
        <v>42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43</v>
      </c>
      <c r="G2" s="10" t="s">
        <v>7</v>
      </c>
      <c r="H2" s="10" t="s">
        <v>44</v>
      </c>
      <c r="I2" s="10" t="s">
        <v>9</v>
      </c>
      <c r="J2" s="10" t="s">
        <v>10</v>
      </c>
    </row>
    <row r="3" spans="1:10" x14ac:dyDescent="0.3">
      <c r="A3">
        <v>263</v>
      </c>
      <c r="B3" t="s">
        <v>45</v>
      </c>
      <c r="C3" t="s">
        <v>46</v>
      </c>
      <c r="D3" t="s">
        <v>47</v>
      </c>
      <c r="E3">
        <v>2470</v>
      </c>
      <c r="F3">
        <v>1</v>
      </c>
      <c r="G3" t="s">
        <v>48</v>
      </c>
      <c r="H3" t="s">
        <v>49</v>
      </c>
      <c r="I3" t="s">
        <v>50</v>
      </c>
      <c r="J3" t="s">
        <v>51</v>
      </c>
    </row>
    <row r="4" spans="1:10" x14ac:dyDescent="0.3">
      <c r="A4">
        <v>155</v>
      </c>
      <c r="B4" t="s">
        <v>52</v>
      </c>
      <c r="C4" t="s">
        <v>53</v>
      </c>
      <c r="D4" t="s">
        <v>54</v>
      </c>
      <c r="E4">
        <v>1550</v>
      </c>
      <c r="F4">
        <v>1</v>
      </c>
      <c r="G4" t="s">
        <v>55</v>
      </c>
      <c r="H4" t="s">
        <v>56</v>
      </c>
      <c r="I4" t="s">
        <v>57</v>
      </c>
      <c r="J4" t="s">
        <v>51</v>
      </c>
    </row>
    <row r="5" spans="1:10" x14ac:dyDescent="0.3">
      <c r="A5">
        <v>294</v>
      </c>
      <c r="B5" t="s">
        <v>58</v>
      </c>
      <c r="C5" t="s">
        <v>59</v>
      </c>
      <c r="D5" t="s">
        <v>60</v>
      </c>
      <c r="E5">
        <v>1880</v>
      </c>
      <c r="F5">
        <v>2</v>
      </c>
      <c r="G5" t="s">
        <v>61</v>
      </c>
      <c r="H5" t="s">
        <v>62</v>
      </c>
      <c r="I5" t="s">
        <v>63</v>
      </c>
      <c r="J5" t="s">
        <v>51</v>
      </c>
    </row>
    <row r="6" spans="1:10" x14ac:dyDescent="0.3">
      <c r="A6">
        <v>188</v>
      </c>
      <c r="B6" t="s">
        <v>64</v>
      </c>
      <c r="C6" t="s">
        <v>65</v>
      </c>
      <c r="D6" t="s">
        <v>66</v>
      </c>
      <c r="E6">
        <v>1600</v>
      </c>
      <c r="F6">
        <v>2</v>
      </c>
      <c r="G6" t="s">
        <v>67</v>
      </c>
      <c r="H6" t="s">
        <v>62</v>
      </c>
      <c r="I6" t="s">
        <v>68</v>
      </c>
      <c r="J6" t="s">
        <v>69</v>
      </c>
    </row>
    <row r="7" spans="1:10" x14ac:dyDescent="0.3">
      <c r="A7">
        <v>247</v>
      </c>
      <c r="B7" t="s">
        <v>70</v>
      </c>
      <c r="C7" t="s">
        <v>71</v>
      </c>
      <c r="D7" t="s">
        <v>72</v>
      </c>
      <c r="E7">
        <v>9065</v>
      </c>
      <c r="F7">
        <v>2</v>
      </c>
      <c r="G7" t="s">
        <v>73</v>
      </c>
      <c r="H7" t="s">
        <v>49</v>
      </c>
      <c r="I7" t="s">
        <v>74</v>
      </c>
      <c r="J7" t="s">
        <v>51</v>
      </c>
    </row>
    <row r="8" spans="1:10" x14ac:dyDescent="0.3">
      <c r="A8">
        <v>171</v>
      </c>
      <c r="B8" t="s">
        <v>75</v>
      </c>
      <c r="C8" t="s">
        <v>59</v>
      </c>
      <c r="D8" t="s">
        <v>76</v>
      </c>
      <c r="E8">
        <v>2360</v>
      </c>
      <c r="F8">
        <v>1</v>
      </c>
      <c r="G8" t="s">
        <v>61</v>
      </c>
      <c r="H8" t="s">
        <v>62</v>
      </c>
      <c r="I8" t="s">
        <v>77</v>
      </c>
      <c r="J8" t="s">
        <v>69</v>
      </c>
    </row>
    <row r="9" spans="1:10" x14ac:dyDescent="0.3">
      <c r="A9">
        <v>255</v>
      </c>
      <c r="B9" t="s">
        <v>78</v>
      </c>
      <c r="C9" t="s">
        <v>79</v>
      </c>
      <c r="D9" t="s">
        <v>80</v>
      </c>
      <c r="E9">
        <v>4670</v>
      </c>
      <c r="F9">
        <v>2</v>
      </c>
      <c r="G9" t="s">
        <v>73</v>
      </c>
      <c r="H9" t="s">
        <v>49</v>
      </c>
      <c r="I9" t="s">
        <v>81</v>
      </c>
      <c r="J9" t="s">
        <v>51</v>
      </c>
    </row>
    <row r="10" spans="1:10" x14ac:dyDescent="0.3">
      <c r="A10">
        <v>296</v>
      </c>
      <c r="B10" t="s">
        <v>82</v>
      </c>
      <c r="C10" t="s">
        <v>83</v>
      </c>
      <c r="D10" t="s">
        <v>84</v>
      </c>
      <c r="E10">
        <v>2050</v>
      </c>
      <c r="F10">
        <v>2</v>
      </c>
      <c r="G10" t="s">
        <v>48</v>
      </c>
      <c r="H10" t="s">
        <v>49</v>
      </c>
      <c r="I10" t="s">
        <v>85</v>
      </c>
      <c r="J10" t="s">
        <v>51</v>
      </c>
    </row>
    <row r="11" spans="1:10" x14ac:dyDescent="0.3">
      <c r="A11">
        <v>154</v>
      </c>
      <c r="B11" t="s">
        <v>86</v>
      </c>
      <c r="C11" t="s">
        <v>59</v>
      </c>
      <c r="D11" t="s">
        <v>87</v>
      </c>
      <c r="E11">
        <v>2400</v>
      </c>
      <c r="F11">
        <v>2</v>
      </c>
      <c r="G11" t="s">
        <v>61</v>
      </c>
      <c r="H11" t="s">
        <v>62</v>
      </c>
      <c r="I11" t="s">
        <v>88</v>
      </c>
      <c r="J11" t="s">
        <v>69</v>
      </c>
    </row>
    <row r="12" spans="1:10" x14ac:dyDescent="0.3">
      <c r="A12">
        <v>192</v>
      </c>
      <c r="B12" t="s">
        <v>89</v>
      </c>
      <c r="C12" t="s">
        <v>83</v>
      </c>
      <c r="D12" t="s">
        <v>90</v>
      </c>
      <c r="E12">
        <v>1875</v>
      </c>
      <c r="F12">
        <v>2</v>
      </c>
      <c r="G12" t="s">
        <v>48</v>
      </c>
      <c r="H12" t="s">
        <v>49</v>
      </c>
      <c r="I12" t="s">
        <v>91</v>
      </c>
      <c r="J12" t="s">
        <v>51</v>
      </c>
    </row>
    <row r="13" spans="1:10" x14ac:dyDescent="0.3">
      <c r="A13">
        <v>252</v>
      </c>
      <c r="B13" t="s">
        <v>92</v>
      </c>
      <c r="C13" t="s">
        <v>79</v>
      </c>
      <c r="D13" t="s">
        <v>93</v>
      </c>
      <c r="E13">
        <v>5150</v>
      </c>
      <c r="F13">
        <v>1</v>
      </c>
      <c r="G13" t="s">
        <v>55</v>
      </c>
      <c r="H13" t="s">
        <v>56</v>
      </c>
      <c r="I13" t="s">
        <v>94</v>
      </c>
      <c r="J13" t="s">
        <v>51</v>
      </c>
    </row>
    <row r="14" spans="1:10" x14ac:dyDescent="0.3">
      <c r="A14">
        <v>274</v>
      </c>
      <c r="B14" t="s">
        <v>95</v>
      </c>
      <c r="C14" t="s">
        <v>65</v>
      </c>
      <c r="D14" t="s">
        <v>96</v>
      </c>
      <c r="E14">
        <v>1420</v>
      </c>
      <c r="F14">
        <v>2</v>
      </c>
      <c r="G14" t="s">
        <v>97</v>
      </c>
      <c r="H14" t="s">
        <v>56</v>
      </c>
      <c r="I14" t="s">
        <v>98</v>
      </c>
      <c r="J14" t="s">
        <v>69</v>
      </c>
    </row>
    <row r="15" spans="1:10" x14ac:dyDescent="0.3">
      <c r="A15">
        <v>228</v>
      </c>
      <c r="B15" t="s">
        <v>99</v>
      </c>
      <c r="C15" t="s">
        <v>100</v>
      </c>
      <c r="D15" t="s">
        <v>101</v>
      </c>
      <c r="E15">
        <v>2155</v>
      </c>
      <c r="F15">
        <v>1</v>
      </c>
      <c r="G15" t="s">
        <v>55</v>
      </c>
      <c r="H15" t="s">
        <v>56</v>
      </c>
      <c r="I15" t="s">
        <v>102</v>
      </c>
      <c r="J15" t="s">
        <v>51</v>
      </c>
    </row>
    <row r="16" spans="1:10" x14ac:dyDescent="0.3">
      <c r="A16">
        <v>253</v>
      </c>
      <c r="B16" t="s">
        <v>103</v>
      </c>
      <c r="C16" t="s">
        <v>71</v>
      </c>
      <c r="D16" t="s">
        <v>104</v>
      </c>
      <c r="E16">
        <v>6675</v>
      </c>
      <c r="F16">
        <v>1</v>
      </c>
      <c r="G16" t="s">
        <v>73</v>
      </c>
      <c r="H16" t="s">
        <v>49</v>
      </c>
      <c r="I16" t="s">
        <v>105</v>
      </c>
      <c r="J16" t="s">
        <v>69</v>
      </c>
    </row>
    <row r="17" spans="1:10" x14ac:dyDescent="0.3">
      <c r="A17">
        <v>121</v>
      </c>
      <c r="B17" t="s">
        <v>106</v>
      </c>
      <c r="C17" t="s">
        <v>107</v>
      </c>
      <c r="D17" t="s">
        <v>108</v>
      </c>
      <c r="E17">
        <v>2235</v>
      </c>
      <c r="F17">
        <v>2</v>
      </c>
      <c r="G17" t="s">
        <v>97</v>
      </c>
      <c r="H17" t="s">
        <v>56</v>
      </c>
      <c r="I17" t="s">
        <v>109</v>
      </c>
      <c r="J17" t="s">
        <v>69</v>
      </c>
    </row>
    <row r="18" spans="1:10" x14ac:dyDescent="0.3">
      <c r="A18">
        <v>235</v>
      </c>
      <c r="B18" t="s">
        <v>110</v>
      </c>
      <c r="C18" t="s">
        <v>53</v>
      </c>
      <c r="D18" t="s">
        <v>111</v>
      </c>
      <c r="E18">
        <v>1740</v>
      </c>
      <c r="F18">
        <v>2</v>
      </c>
      <c r="G18" t="s">
        <v>67</v>
      </c>
      <c r="H18" t="s">
        <v>62</v>
      </c>
      <c r="I18" t="s">
        <v>112</v>
      </c>
      <c r="J18" t="s">
        <v>69</v>
      </c>
    </row>
    <row r="19" spans="1:10" x14ac:dyDescent="0.3">
      <c r="A19">
        <v>130</v>
      </c>
      <c r="B19" t="s">
        <v>113</v>
      </c>
      <c r="C19" t="s">
        <v>65</v>
      </c>
      <c r="D19" t="s">
        <v>114</v>
      </c>
      <c r="E19">
        <v>1420</v>
      </c>
      <c r="F19">
        <v>1</v>
      </c>
      <c r="G19" t="s">
        <v>61</v>
      </c>
      <c r="H19" t="s">
        <v>62</v>
      </c>
      <c r="I19" t="s">
        <v>115</v>
      </c>
      <c r="J19" t="s">
        <v>51</v>
      </c>
    </row>
    <row r="20" spans="1:10" x14ac:dyDescent="0.3">
      <c r="A20">
        <v>158</v>
      </c>
      <c r="B20" t="s">
        <v>116</v>
      </c>
      <c r="C20" t="s">
        <v>79</v>
      </c>
      <c r="D20" t="s">
        <v>117</v>
      </c>
      <c r="E20">
        <v>4325</v>
      </c>
      <c r="F20">
        <v>2</v>
      </c>
      <c r="G20" t="s">
        <v>73</v>
      </c>
      <c r="H20" t="s">
        <v>49</v>
      </c>
      <c r="I20" t="s">
        <v>118</v>
      </c>
      <c r="J20" t="s">
        <v>51</v>
      </c>
    </row>
    <row r="21" spans="1:10" x14ac:dyDescent="0.3">
      <c r="A21">
        <v>162</v>
      </c>
      <c r="B21" t="s">
        <v>119</v>
      </c>
      <c r="C21" t="s">
        <v>46</v>
      </c>
      <c r="D21" t="s">
        <v>120</v>
      </c>
      <c r="E21">
        <v>2330</v>
      </c>
      <c r="F21">
        <v>1</v>
      </c>
      <c r="G21" t="s">
        <v>121</v>
      </c>
      <c r="H21" t="s">
        <v>122</v>
      </c>
      <c r="I21" t="s">
        <v>123</v>
      </c>
      <c r="J21" t="s">
        <v>69</v>
      </c>
    </row>
    <row r="22" spans="1:10" x14ac:dyDescent="0.3">
      <c r="A22">
        <v>272</v>
      </c>
      <c r="B22" t="s">
        <v>124</v>
      </c>
      <c r="C22" t="s">
        <v>83</v>
      </c>
      <c r="D22" t="s">
        <v>125</v>
      </c>
      <c r="E22">
        <v>1615</v>
      </c>
      <c r="F22">
        <v>1</v>
      </c>
      <c r="G22" t="s">
        <v>48</v>
      </c>
      <c r="H22" t="s">
        <v>49</v>
      </c>
      <c r="I22" t="s">
        <v>126</v>
      </c>
      <c r="J22" t="s">
        <v>51</v>
      </c>
    </row>
    <row r="23" spans="1:10" x14ac:dyDescent="0.3">
      <c r="A23">
        <v>208</v>
      </c>
      <c r="B23" t="s">
        <v>127</v>
      </c>
      <c r="C23" t="s">
        <v>128</v>
      </c>
      <c r="D23" t="s">
        <v>129</v>
      </c>
      <c r="E23">
        <v>1865</v>
      </c>
      <c r="F23">
        <v>1</v>
      </c>
      <c r="G23" t="s">
        <v>48</v>
      </c>
      <c r="H23" t="s">
        <v>49</v>
      </c>
      <c r="I23" t="s">
        <v>130</v>
      </c>
      <c r="J23" t="s">
        <v>51</v>
      </c>
    </row>
    <row r="24" spans="1:10" x14ac:dyDescent="0.3">
      <c r="A24">
        <v>112</v>
      </c>
      <c r="B24" t="s">
        <v>131</v>
      </c>
      <c r="C24" t="s">
        <v>100</v>
      </c>
      <c r="D24" t="s">
        <v>132</v>
      </c>
      <c r="E24">
        <v>2865</v>
      </c>
      <c r="F24">
        <v>1</v>
      </c>
      <c r="G24" t="s">
        <v>133</v>
      </c>
      <c r="H24" t="s">
        <v>56</v>
      </c>
      <c r="I24" t="s">
        <v>134</v>
      </c>
      <c r="J24" t="s">
        <v>51</v>
      </c>
    </row>
    <row r="25" spans="1:10" x14ac:dyDescent="0.3">
      <c r="A25">
        <v>197</v>
      </c>
      <c r="B25" t="s">
        <v>135</v>
      </c>
      <c r="C25" t="s">
        <v>53</v>
      </c>
      <c r="D25" t="s">
        <v>136</v>
      </c>
      <c r="E25">
        <v>1520</v>
      </c>
      <c r="F25">
        <v>1</v>
      </c>
      <c r="G25" t="s">
        <v>55</v>
      </c>
      <c r="H25" t="s">
        <v>56</v>
      </c>
      <c r="I25" t="s">
        <v>137</v>
      </c>
      <c r="J25" t="s">
        <v>51</v>
      </c>
    </row>
    <row r="26" spans="1:10" x14ac:dyDescent="0.3">
      <c r="A26">
        <v>248</v>
      </c>
      <c r="B26" t="s">
        <v>138</v>
      </c>
      <c r="C26" t="s">
        <v>100</v>
      </c>
      <c r="D26" t="s">
        <v>139</v>
      </c>
      <c r="E26">
        <v>2055</v>
      </c>
      <c r="F26">
        <v>1</v>
      </c>
      <c r="G26" t="s">
        <v>55</v>
      </c>
      <c r="H26" t="s">
        <v>56</v>
      </c>
      <c r="I26" t="s">
        <v>140</v>
      </c>
      <c r="J26" t="s">
        <v>51</v>
      </c>
    </row>
    <row r="27" spans="1:10" x14ac:dyDescent="0.3">
      <c r="A27">
        <v>117</v>
      </c>
      <c r="B27" t="s">
        <v>141</v>
      </c>
      <c r="C27" t="s">
        <v>142</v>
      </c>
      <c r="D27" t="s">
        <v>143</v>
      </c>
      <c r="E27">
        <v>2135</v>
      </c>
      <c r="F27">
        <v>2</v>
      </c>
      <c r="G27" t="s">
        <v>61</v>
      </c>
      <c r="H27" t="s">
        <v>62</v>
      </c>
      <c r="I27" t="s">
        <v>144</v>
      </c>
      <c r="J27" t="s">
        <v>51</v>
      </c>
    </row>
    <row r="28" spans="1:10" x14ac:dyDescent="0.3">
      <c r="A28">
        <v>166</v>
      </c>
      <c r="B28" t="s">
        <v>145</v>
      </c>
      <c r="C28" t="s">
        <v>107</v>
      </c>
      <c r="D28" t="s">
        <v>146</v>
      </c>
      <c r="E28">
        <v>2350</v>
      </c>
      <c r="F28">
        <v>1</v>
      </c>
      <c r="G28" t="s">
        <v>97</v>
      </c>
      <c r="H28" t="s">
        <v>56</v>
      </c>
      <c r="I28" t="s">
        <v>147</v>
      </c>
      <c r="J28" t="s">
        <v>51</v>
      </c>
    </row>
    <row r="29" spans="1:10" x14ac:dyDescent="0.3">
      <c r="A29">
        <v>102</v>
      </c>
      <c r="B29" t="s">
        <v>148</v>
      </c>
      <c r="C29" t="s">
        <v>79</v>
      </c>
      <c r="D29" t="s">
        <v>149</v>
      </c>
      <c r="E29">
        <v>3725</v>
      </c>
      <c r="F29">
        <v>1</v>
      </c>
      <c r="G29" t="s">
        <v>55</v>
      </c>
      <c r="H29" t="s">
        <v>56</v>
      </c>
      <c r="I29" t="s">
        <v>150</v>
      </c>
      <c r="J29" t="s">
        <v>69</v>
      </c>
    </row>
    <row r="30" spans="1:10" x14ac:dyDescent="0.3">
      <c r="A30">
        <v>194</v>
      </c>
      <c r="B30" t="s">
        <v>151</v>
      </c>
      <c r="C30" t="s">
        <v>59</v>
      </c>
      <c r="D30" t="s">
        <v>152</v>
      </c>
      <c r="E30">
        <v>2335</v>
      </c>
      <c r="F30">
        <v>1</v>
      </c>
      <c r="G30" t="s">
        <v>55</v>
      </c>
      <c r="H30" t="s">
        <v>56</v>
      </c>
      <c r="I30" t="s">
        <v>153</v>
      </c>
      <c r="J30" t="s">
        <v>69</v>
      </c>
    </row>
    <row r="31" spans="1:10" x14ac:dyDescent="0.3">
      <c r="A31">
        <v>134</v>
      </c>
      <c r="B31" t="s">
        <v>154</v>
      </c>
      <c r="C31" t="s">
        <v>59</v>
      </c>
      <c r="D31" t="s">
        <v>155</v>
      </c>
      <c r="E31">
        <v>1965</v>
      </c>
      <c r="F31">
        <v>2</v>
      </c>
      <c r="G31" t="s">
        <v>61</v>
      </c>
      <c r="H31" t="s">
        <v>62</v>
      </c>
      <c r="I31" t="s">
        <v>156</v>
      </c>
      <c r="J31" t="s">
        <v>69</v>
      </c>
    </row>
    <row r="32" spans="1:10" x14ac:dyDescent="0.3">
      <c r="A32">
        <v>229</v>
      </c>
      <c r="B32" t="s">
        <v>157</v>
      </c>
      <c r="C32" t="s">
        <v>71</v>
      </c>
      <c r="D32" t="s">
        <v>158</v>
      </c>
      <c r="E32">
        <v>6510</v>
      </c>
      <c r="F32">
        <v>2</v>
      </c>
      <c r="G32" t="s">
        <v>73</v>
      </c>
      <c r="H32" t="s">
        <v>49</v>
      </c>
      <c r="I32" t="s">
        <v>159</v>
      </c>
      <c r="J32" t="s">
        <v>69</v>
      </c>
    </row>
    <row r="33" spans="1:10" x14ac:dyDescent="0.3">
      <c r="A33">
        <v>141</v>
      </c>
      <c r="B33" t="s">
        <v>160</v>
      </c>
      <c r="C33" t="s">
        <v>46</v>
      </c>
      <c r="D33" t="s">
        <v>161</v>
      </c>
      <c r="E33">
        <v>2755</v>
      </c>
      <c r="F33">
        <v>1</v>
      </c>
      <c r="G33" t="s">
        <v>48</v>
      </c>
      <c r="H33" t="s">
        <v>49</v>
      </c>
      <c r="I33" t="s">
        <v>162</v>
      </c>
      <c r="J33" t="s">
        <v>69</v>
      </c>
    </row>
    <row r="34" spans="1:10" x14ac:dyDescent="0.3">
      <c r="A34">
        <v>239</v>
      </c>
      <c r="B34" t="s">
        <v>163</v>
      </c>
      <c r="C34" t="s">
        <v>46</v>
      </c>
      <c r="D34" t="s">
        <v>164</v>
      </c>
      <c r="E34">
        <v>2290</v>
      </c>
      <c r="F34">
        <v>1</v>
      </c>
      <c r="G34" t="s">
        <v>165</v>
      </c>
      <c r="H34" t="s">
        <v>166</v>
      </c>
      <c r="I34" t="s">
        <v>167</v>
      </c>
      <c r="J34" t="s">
        <v>51</v>
      </c>
    </row>
    <row r="35" spans="1:10" x14ac:dyDescent="0.3">
      <c r="A35">
        <v>191</v>
      </c>
      <c r="B35" t="s">
        <v>168</v>
      </c>
      <c r="C35" t="s">
        <v>53</v>
      </c>
      <c r="D35" t="s">
        <v>169</v>
      </c>
      <c r="E35">
        <v>1890</v>
      </c>
      <c r="F35">
        <v>1</v>
      </c>
      <c r="G35" t="s">
        <v>55</v>
      </c>
      <c r="H35" t="s">
        <v>56</v>
      </c>
      <c r="I35" t="s">
        <v>170</v>
      </c>
      <c r="J35" t="s">
        <v>51</v>
      </c>
    </row>
    <row r="36" spans="1:10" x14ac:dyDescent="0.3">
      <c r="A36">
        <v>145</v>
      </c>
      <c r="B36" t="s">
        <v>171</v>
      </c>
      <c r="C36" t="s">
        <v>53</v>
      </c>
      <c r="D36" t="s">
        <v>172</v>
      </c>
      <c r="E36">
        <v>1840</v>
      </c>
      <c r="F36">
        <v>2</v>
      </c>
      <c r="G36" t="s">
        <v>67</v>
      </c>
      <c r="H36" t="s">
        <v>62</v>
      </c>
      <c r="I36" t="s">
        <v>173</v>
      </c>
      <c r="J36" t="s">
        <v>69</v>
      </c>
    </row>
    <row r="37" spans="1:10" x14ac:dyDescent="0.3">
      <c r="A37">
        <v>140</v>
      </c>
      <c r="B37" t="s">
        <v>174</v>
      </c>
      <c r="C37" t="s">
        <v>46</v>
      </c>
      <c r="D37" t="s">
        <v>175</v>
      </c>
      <c r="E37">
        <v>2655</v>
      </c>
      <c r="F37">
        <v>1</v>
      </c>
      <c r="G37" t="s">
        <v>121</v>
      </c>
      <c r="H37" t="s">
        <v>122</v>
      </c>
      <c r="I37" t="s">
        <v>176</v>
      </c>
      <c r="J37" t="s">
        <v>51</v>
      </c>
    </row>
    <row r="38" spans="1:10" x14ac:dyDescent="0.3">
      <c r="A38">
        <v>106</v>
      </c>
      <c r="B38" t="s">
        <v>177</v>
      </c>
      <c r="C38" t="s">
        <v>46</v>
      </c>
      <c r="D38" t="s">
        <v>178</v>
      </c>
      <c r="E38">
        <v>2515</v>
      </c>
      <c r="F38">
        <v>2</v>
      </c>
      <c r="G38" t="s">
        <v>73</v>
      </c>
      <c r="H38" t="s">
        <v>49</v>
      </c>
      <c r="I38" t="s">
        <v>179</v>
      </c>
      <c r="J38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6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2" customWidth="1"/>
    <col min="6" max="7" width="16" customWidth="1"/>
    <col min="8" max="8" width="22" customWidth="1"/>
    <col min="9" max="9" width="20" customWidth="1"/>
  </cols>
  <sheetData>
    <row r="1" spans="1:9" ht="15.6" customHeight="1" x14ac:dyDescent="0.3">
      <c r="A1" s="7" t="s">
        <v>180</v>
      </c>
    </row>
    <row r="2" spans="1:9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182</v>
      </c>
      <c r="F2" s="10" t="s">
        <v>183</v>
      </c>
      <c r="G2" s="10" t="s">
        <v>184</v>
      </c>
      <c r="H2" s="10" t="s">
        <v>185</v>
      </c>
      <c r="I2" s="10" t="s">
        <v>186</v>
      </c>
    </row>
    <row r="3" spans="1:9" x14ac:dyDescent="0.3">
      <c r="A3">
        <v>1</v>
      </c>
      <c r="B3" t="s">
        <v>48</v>
      </c>
      <c r="C3">
        <v>263</v>
      </c>
      <c r="D3" t="s">
        <v>45</v>
      </c>
      <c r="E3">
        <v>1414.49</v>
      </c>
      <c r="F3" t="s">
        <v>187</v>
      </c>
      <c r="G3" t="s">
        <v>188</v>
      </c>
      <c r="H3" t="str">
        <f>IFERROR(INDEX(Funcionarios!$C$3:$C$38,MATCH($C3,Funcionarios!$A$3:$A$38,0)),"")</f>
        <v>Assistente Administrativo</v>
      </c>
      <c r="I3" t="str">
        <f>IFERROR(INDEX(Funcionarios!$H$3:$H$38,MATCH($C3,Funcionarios!$A$3:$A$38,0)),"")</f>
        <v>Fabrica ACME</v>
      </c>
    </row>
    <row r="4" spans="1:9" x14ac:dyDescent="0.3">
      <c r="A4">
        <v>2</v>
      </c>
      <c r="B4" t="s">
        <v>55</v>
      </c>
      <c r="C4">
        <v>155</v>
      </c>
      <c r="D4" t="s">
        <v>52</v>
      </c>
      <c r="E4">
        <v>868.87</v>
      </c>
      <c r="F4" t="s">
        <v>187</v>
      </c>
      <c r="G4" t="s">
        <v>188</v>
      </c>
      <c r="H4" t="str">
        <f>IFERROR(INDEX(Funcionarios!$C$3:$C$38,MATCH($C4,Funcionarios!$A$3:$A$38,0)),"")</f>
        <v>Auxiliar de Producao</v>
      </c>
      <c r="I4" t="str">
        <f>IFERROR(INDEX(Funcionarios!$H$3:$H$38,MATCH($C4,Funcionarios!$A$3:$A$38,0)),"")</f>
        <v>Producao ACME</v>
      </c>
    </row>
    <row r="5" spans="1:9" x14ac:dyDescent="0.3">
      <c r="A5">
        <v>3</v>
      </c>
      <c r="B5" t="s">
        <v>61</v>
      </c>
      <c r="C5">
        <v>294</v>
      </c>
      <c r="D5" t="s">
        <v>58</v>
      </c>
      <c r="E5">
        <v>1119.6600000000001</v>
      </c>
      <c r="F5" t="s">
        <v>187</v>
      </c>
      <c r="G5" t="s">
        <v>188</v>
      </c>
      <c r="H5" t="str">
        <f>IFERROR(INDEX(Funcionarios!$C$3:$C$38,MATCH($C5,Funcionarios!$A$3:$A$38,0)),"")</f>
        <v>Operador de Maquinas</v>
      </c>
      <c r="I5" t="str">
        <f>IFERROR(INDEX(Funcionarios!$H$3:$H$38,MATCH($C5,Funcionarios!$A$3:$A$38,0)),"")</f>
        <v>Operacional ACME</v>
      </c>
    </row>
    <row r="6" spans="1:9" x14ac:dyDescent="0.3">
      <c r="A6">
        <v>4</v>
      </c>
      <c r="B6" t="s">
        <v>67</v>
      </c>
      <c r="C6">
        <v>188</v>
      </c>
      <c r="D6" t="s">
        <v>64</v>
      </c>
      <c r="E6">
        <v>888.11</v>
      </c>
      <c r="F6" t="s">
        <v>187</v>
      </c>
      <c r="G6" t="s">
        <v>188</v>
      </c>
      <c r="H6" t="str">
        <f>IFERROR(INDEX(Funcionarios!$C$3:$C$38,MATCH($C6,Funcionarios!$A$3:$A$38,0)),"")</f>
        <v>Servente de Obras</v>
      </c>
      <c r="I6" t="str">
        <f>IFERROR(INDEX(Funcionarios!$H$3:$H$38,MATCH($C6,Funcionarios!$A$3:$A$38,0)),"")</f>
        <v>Operacional ACME</v>
      </c>
    </row>
    <row r="7" spans="1:9" x14ac:dyDescent="0.3">
      <c r="A7">
        <v>5</v>
      </c>
      <c r="B7" t="s">
        <v>73</v>
      </c>
      <c r="C7">
        <v>247</v>
      </c>
      <c r="D7" t="s">
        <v>70</v>
      </c>
      <c r="E7">
        <v>5325.79</v>
      </c>
      <c r="F7" t="s">
        <v>187</v>
      </c>
      <c r="G7" t="s">
        <v>188</v>
      </c>
      <c r="H7" t="str">
        <f>IFERROR(INDEX(Funcionarios!$C$3:$C$38,MATCH($C7,Funcionarios!$A$3:$A$38,0)),"")</f>
        <v>Gerente Administrativo</v>
      </c>
      <c r="I7" t="str">
        <f>IFERROR(INDEX(Funcionarios!$H$3:$H$38,MATCH($C7,Funcionarios!$A$3:$A$38,0)),"")</f>
        <v>Fabrica ACME</v>
      </c>
    </row>
    <row r="8" spans="1:9" x14ac:dyDescent="0.3">
      <c r="A8">
        <v>3</v>
      </c>
      <c r="B8" t="s">
        <v>61</v>
      </c>
      <c r="C8">
        <v>171</v>
      </c>
      <c r="D8" t="s">
        <v>75</v>
      </c>
      <c r="E8">
        <v>1358.41</v>
      </c>
      <c r="F8" t="s">
        <v>187</v>
      </c>
      <c r="G8" t="s">
        <v>188</v>
      </c>
      <c r="H8" t="str">
        <f>IFERROR(INDEX(Funcionarios!$C$3:$C$38,MATCH($C8,Funcionarios!$A$3:$A$38,0)),"")</f>
        <v>Operador de Maquinas</v>
      </c>
      <c r="I8" t="str">
        <f>IFERROR(INDEX(Funcionarios!$H$3:$H$38,MATCH($C8,Funcionarios!$A$3:$A$38,0)),"")</f>
        <v>Operacional ACME</v>
      </c>
    </row>
    <row r="9" spans="1:9" x14ac:dyDescent="0.3">
      <c r="A9">
        <v>5</v>
      </c>
      <c r="B9" t="s">
        <v>73</v>
      </c>
      <c r="C9">
        <v>255</v>
      </c>
      <c r="D9" t="s">
        <v>78</v>
      </c>
      <c r="E9">
        <v>2587.46</v>
      </c>
      <c r="F9" t="s">
        <v>187</v>
      </c>
      <c r="G9" t="s">
        <v>188</v>
      </c>
      <c r="H9" t="str">
        <f>IFERROR(INDEX(Funcionarios!$C$3:$C$38,MATCH($C9,Funcionarios!$A$3:$A$38,0)),"")</f>
        <v>Supervisor de Producao</v>
      </c>
      <c r="I9" t="str">
        <f>IFERROR(INDEX(Funcionarios!$H$3:$H$38,MATCH($C9,Funcionarios!$A$3:$A$38,0)),"")</f>
        <v>Fabrica ACME</v>
      </c>
    </row>
    <row r="10" spans="1:9" x14ac:dyDescent="0.3">
      <c r="A10">
        <v>1</v>
      </c>
      <c r="B10" t="s">
        <v>48</v>
      </c>
      <c r="C10">
        <v>296</v>
      </c>
      <c r="D10" t="s">
        <v>82</v>
      </c>
      <c r="E10">
        <v>1200.32</v>
      </c>
      <c r="F10" t="s">
        <v>187</v>
      </c>
      <c r="G10" t="s">
        <v>188</v>
      </c>
      <c r="H10" t="str">
        <f>IFERROR(INDEX(Funcionarios!$C$3:$C$38,MATCH($C10,Funcionarios!$A$3:$A$38,0)),"")</f>
        <v>Auxiliar Administrativo</v>
      </c>
      <c r="I10" t="str">
        <f>IFERROR(INDEX(Funcionarios!$H$3:$H$38,MATCH($C10,Funcionarios!$A$3:$A$38,0)),"")</f>
        <v>Fabrica ACME</v>
      </c>
    </row>
    <row r="11" spans="1:9" x14ac:dyDescent="0.3">
      <c r="A11">
        <v>3</v>
      </c>
      <c r="B11" t="s">
        <v>61</v>
      </c>
      <c r="C11">
        <v>154</v>
      </c>
      <c r="D11" t="s">
        <v>86</v>
      </c>
      <c r="E11">
        <v>1326.3</v>
      </c>
      <c r="F11" t="s">
        <v>187</v>
      </c>
      <c r="G11" t="s">
        <v>188</v>
      </c>
      <c r="H11" t="str">
        <f>IFERROR(INDEX(Funcionarios!$C$3:$C$38,MATCH($C11,Funcionarios!$A$3:$A$38,0)),"")</f>
        <v>Operador de Maquinas</v>
      </c>
      <c r="I11" t="str">
        <f>IFERROR(INDEX(Funcionarios!$H$3:$H$38,MATCH($C11,Funcionarios!$A$3:$A$38,0)),"")</f>
        <v>Operacional ACME</v>
      </c>
    </row>
    <row r="12" spans="1:9" x14ac:dyDescent="0.3">
      <c r="A12">
        <v>1</v>
      </c>
      <c r="B12" t="s">
        <v>48</v>
      </c>
      <c r="C12">
        <v>192</v>
      </c>
      <c r="D12" t="s">
        <v>89</v>
      </c>
      <c r="E12">
        <v>1088.17</v>
      </c>
      <c r="F12" t="s">
        <v>187</v>
      </c>
      <c r="G12" t="s">
        <v>188</v>
      </c>
      <c r="H12" t="str">
        <f>IFERROR(INDEX(Funcionarios!$C$3:$C$38,MATCH($C12,Funcionarios!$A$3:$A$38,0)),"")</f>
        <v>Auxiliar Administrativo</v>
      </c>
      <c r="I12" t="str">
        <f>IFERROR(INDEX(Funcionarios!$H$3:$H$38,MATCH($C12,Funcionarios!$A$3:$A$38,0)),"")</f>
        <v>Fabrica ACME</v>
      </c>
    </row>
    <row r="13" spans="1:9" x14ac:dyDescent="0.3">
      <c r="A13">
        <v>2</v>
      </c>
      <c r="B13" t="s">
        <v>55</v>
      </c>
      <c r="C13">
        <v>252</v>
      </c>
      <c r="D13" t="s">
        <v>92</v>
      </c>
      <c r="E13">
        <v>2857.68</v>
      </c>
      <c r="F13" t="s">
        <v>187</v>
      </c>
      <c r="G13" t="s">
        <v>188</v>
      </c>
      <c r="H13" t="str">
        <f>IFERROR(INDEX(Funcionarios!$C$3:$C$38,MATCH($C13,Funcionarios!$A$3:$A$38,0)),"")</f>
        <v>Supervisor de Producao</v>
      </c>
      <c r="I13" t="str">
        <f>IFERROR(INDEX(Funcionarios!$H$3:$H$38,MATCH($C13,Funcionarios!$A$3:$A$38,0)),"")</f>
        <v>Producao ACME</v>
      </c>
    </row>
    <row r="14" spans="1:9" x14ac:dyDescent="0.3">
      <c r="A14">
        <v>6</v>
      </c>
      <c r="B14" t="s">
        <v>97</v>
      </c>
      <c r="C14">
        <v>274</v>
      </c>
      <c r="D14" t="s">
        <v>95</v>
      </c>
      <c r="E14">
        <v>790.02</v>
      </c>
      <c r="F14" t="s">
        <v>187</v>
      </c>
      <c r="G14" t="s">
        <v>188</v>
      </c>
      <c r="H14" t="str">
        <f>IFERROR(INDEX(Funcionarios!$C$3:$C$38,MATCH($C14,Funcionarios!$A$3:$A$38,0)),"")</f>
        <v>Servente de Obras</v>
      </c>
      <c r="I14" t="str">
        <f>IFERROR(INDEX(Funcionarios!$H$3:$H$38,MATCH($C14,Funcionarios!$A$3:$A$38,0)),"")</f>
        <v>Producao ACME</v>
      </c>
    </row>
    <row r="15" spans="1:9" x14ac:dyDescent="0.3">
      <c r="A15">
        <v>2</v>
      </c>
      <c r="B15" t="s">
        <v>55</v>
      </c>
      <c r="C15">
        <v>228</v>
      </c>
      <c r="D15" t="s">
        <v>99</v>
      </c>
      <c r="E15">
        <v>1249.29</v>
      </c>
      <c r="F15" t="s">
        <v>187</v>
      </c>
      <c r="G15" t="s">
        <v>188</v>
      </c>
      <c r="H15" t="str">
        <f>IFERROR(INDEX(Funcionarios!$C$3:$C$38,MATCH($C15,Funcionarios!$A$3:$A$38,0)),"")</f>
        <v>Soldador</v>
      </c>
      <c r="I15" t="str">
        <f>IFERROR(INDEX(Funcionarios!$H$3:$H$38,MATCH($C15,Funcionarios!$A$3:$A$38,0)),"")</f>
        <v>Producao ACME</v>
      </c>
    </row>
    <row r="16" spans="1:9" x14ac:dyDescent="0.3">
      <c r="A16">
        <v>5</v>
      </c>
      <c r="B16" t="s">
        <v>73</v>
      </c>
      <c r="C16">
        <v>253</v>
      </c>
      <c r="D16" t="s">
        <v>103</v>
      </c>
      <c r="E16">
        <v>4057.6</v>
      </c>
      <c r="F16" t="s">
        <v>187</v>
      </c>
      <c r="G16" t="s">
        <v>188</v>
      </c>
      <c r="H16" t="str">
        <f>IFERROR(INDEX(Funcionarios!$C$3:$C$38,MATCH($C16,Funcionarios!$A$3:$A$38,0)),"")</f>
        <v>Gerente Administrativo</v>
      </c>
      <c r="I16" t="str">
        <f>IFERROR(INDEX(Funcionarios!$H$3:$H$38,MATCH($C16,Funcionarios!$A$3:$A$38,0)),"")</f>
        <v>Fabrica ACME</v>
      </c>
    </row>
    <row r="17" spans="1:9" x14ac:dyDescent="0.3">
      <c r="A17">
        <v>6</v>
      </c>
      <c r="B17" t="s">
        <v>97</v>
      </c>
      <c r="C17">
        <v>121</v>
      </c>
      <c r="D17" t="s">
        <v>106</v>
      </c>
      <c r="E17">
        <v>1248.6199999999999</v>
      </c>
      <c r="F17" t="s">
        <v>187</v>
      </c>
      <c r="G17" t="s">
        <v>188</v>
      </c>
      <c r="H17" t="str">
        <f>IFERROR(INDEX(Funcionarios!$C$3:$C$38,MATCH($C17,Funcionarios!$A$3:$A$38,0)),"")</f>
        <v>Almoxarife</v>
      </c>
      <c r="I17" t="str">
        <f>IFERROR(INDEX(Funcionarios!$H$3:$H$38,MATCH($C17,Funcionarios!$A$3:$A$38,0)),"")</f>
        <v>Producao ACME</v>
      </c>
    </row>
    <row r="18" spans="1:9" x14ac:dyDescent="0.3">
      <c r="A18">
        <v>4</v>
      </c>
      <c r="B18" t="s">
        <v>67</v>
      </c>
      <c r="C18">
        <v>235</v>
      </c>
      <c r="D18" t="s">
        <v>110</v>
      </c>
      <c r="E18">
        <v>984.19</v>
      </c>
      <c r="F18" t="s">
        <v>187</v>
      </c>
      <c r="G18" t="s">
        <v>188</v>
      </c>
      <c r="H18" t="str">
        <f>IFERROR(INDEX(Funcionarios!$C$3:$C$38,MATCH($C18,Funcionarios!$A$3:$A$38,0)),"")</f>
        <v>Auxiliar de Producao</v>
      </c>
      <c r="I18" t="str">
        <f>IFERROR(INDEX(Funcionarios!$H$3:$H$38,MATCH($C18,Funcionarios!$A$3:$A$38,0)),"")</f>
        <v>Operacional ACME</v>
      </c>
    </row>
    <row r="19" spans="1:9" x14ac:dyDescent="0.3">
      <c r="A19">
        <v>3</v>
      </c>
      <c r="B19" t="s">
        <v>61</v>
      </c>
      <c r="C19">
        <v>130</v>
      </c>
      <c r="D19" t="s">
        <v>113</v>
      </c>
      <c r="E19">
        <v>843.37</v>
      </c>
      <c r="F19" t="s">
        <v>187</v>
      </c>
      <c r="G19" t="s">
        <v>188</v>
      </c>
      <c r="H19" t="str">
        <f>IFERROR(INDEX(Funcionarios!$C$3:$C$38,MATCH($C19,Funcionarios!$A$3:$A$38,0)),"")</f>
        <v>Servente de Obras</v>
      </c>
      <c r="I19" t="str">
        <f>IFERROR(INDEX(Funcionarios!$H$3:$H$38,MATCH($C19,Funcionarios!$A$3:$A$38,0)),"")</f>
        <v>Operacional ACME</v>
      </c>
    </row>
    <row r="20" spans="1:9" x14ac:dyDescent="0.3">
      <c r="A20">
        <v>5</v>
      </c>
      <c r="B20" t="s">
        <v>73</v>
      </c>
      <c r="C20">
        <v>158</v>
      </c>
      <c r="D20" t="s">
        <v>116</v>
      </c>
      <c r="E20">
        <v>2665.67</v>
      </c>
      <c r="F20" t="s">
        <v>187</v>
      </c>
      <c r="G20" t="s">
        <v>188</v>
      </c>
      <c r="H20" t="str">
        <f>IFERROR(INDEX(Funcionarios!$C$3:$C$38,MATCH($C20,Funcionarios!$A$3:$A$38,0)),"")</f>
        <v>Supervisor de Producao</v>
      </c>
      <c r="I20" t="str">
        <f>IFERROR(INDEX(Funcionarios!$H$3:$H$38,MATCH($C20,Funcionarios!$A$3:$A$38,0)),"")</f>
        <v>Fabrica ACME</v>
      </c>
    </row>
    <row r="21" spans="1:9" x14ac:dyDescent="0.3">
      <c r="A21">
        <v>7</v>
      </c>
      <c r="B21" t="s">
        <v>121</v>
      </c>
      <c r="C21">
        <v>162</v>
      </c>
      <c r="D21" t="s">
        <v>119</v>
      </c>
      <c r="E21">
        <v>1375.63</v>
      </c>
      <c r="F21" t="s">
        <v>187</v>
      </c>
      <c r="G21" t="s">
        <v>188</v>
      </c>
      <c r="H21" t="str">
        <f>IFERROR(INDEX(Funcionarios!$C$3:$C$38,MATCH($C21,Funcionarios!$A$3:$A$38,0)),"")</f>
        <v>Assistente Administrativo</v>
      </c>
      <c r="I21" t="str">
        <f>IFERROR(INDEX(Funcionarios!$H$3:$H$38,MATCH($C21,Funcionarios!$A$3:$A$38,0)),"")</f>
        <v>DP/RH ACME</v>
      </c>
    </row>
    <row r="22" spans="1:9" x14ac:dyDescent="0.3">
      <c r="A22">
        <v>1</v>
      </c>
      <c r="B22" t="s">
        <v>48</v>
      </c>
      <c r="C22">
        <v>272</v>
      </c>
      <c r="D22" t="s">
        <v>124</v>
      </c>
      <c r="E22">
        <v>933.09</v>
      </c>
      <c r="F22" t="s">
        <v>187</v>
      </c>
      <c r="G22" t="s">
        <v>188</v>
      </c>
      <c r="H22" t="str">
        <f>IFERROR(INDEX(Funcionarios!$C$3:$C$38,MATCH($C22,Funcionarios!$A$3:$A$38,0)),"")</f>
        <v>Auxiliar Administrativo</v>
      </c>
      <c r="I22" t="str">
        <f>IFERROR(INDEX(Funcionarios!$H$3:$H$38,MATCH($C22,Funcionarios!$A$3:$A$38,0)),"")</f>
        <v>Fabrica ACME</v>
      </c>
    </row>
    <row r="23" spans="1:9" x14ac:dyDescent="0.3">
      <c r="A23">
        <v>1</v>
      </c>
      <c r="B23" t="s">
        <v>48</v>
      </c>
      <c r="C23">
        <v>208</v>
      </c>
      <c r="D23" t="s">
        <v>127</v>
      </c>
      <c r="E23">
        <v>1153.2</v>
      </c>
      <c r="F23" t="s">
        <v>187</v>
      </c>
      <c r="G23" t="s">
        <v>188</v>
      </c>
      <c r="H23" t="str">
        <f>IFERROR(INDEX(Funcionarios!$C$3:$C$38,MATCH($C23,Funcionarios!$A$3:$A$38,0)),"")</f>
        <v>Auxiliar de Almoxarifado</v>
      </c>
      <c r="I23" t="str">
        <f>IFERROR(INDEX(Funcionarios!$H$3:$H$38,MATCH($C23,Funcionarios!$A$3:$A$38,0)),"")</f>
        <v>Fabrica ACME</v>
      </c>
    </row>
    <row r="24" spans="1:9" x14ac:dyDescent="0.3">
      <c r="A24">
        <v>8</v>
      </c>
      <c r="B24" t="s">
        <v>133</v>
      </c>
      <c r="C24">
        <v>112</v>
      </c>
      <c r="D24" t="s">
        <v>131</v>
      </c>
      <c r="E24">
        <v>1585.09</v>
      </c>
      <c r="F24" t="s">
        <v>187</v>
      </c>
      <c r="G24" t="s">
        <v>188</v>
      </c>
      <c r="H24" t="str">
        <f>IFERROR(INDEX(Funcionarios!$C$3:$C$38,MATCH($C24,Funcionarios!$A$3:$A$38,0)),"")</f>
        <v>Soldador</v>
      </c>
      <c r="I24" t="str">
        <f>IFERROR(INDEX(Funcionarios!$H$3:$H$38,MATCH($C24,Funcionarios!$A$3:$A$38,0)),"")</f>
        <v>Producao ACME</v>
      </c>
    </row>
    <row r="25" spans="1:9" x14ac:dyDescent="0.3">
      <c r="A25">
        <v>2</v>
      </c>
      <c r="B25" t="s">
        <v>55</v>
      </c>
      <c r="C25">
        <v>197</v>
      </c>
      <c r="D25" t="s">
        <v>135</v>
      </c>
      <c r="E25">
        <v>927.34</v>
      </c>
      <c r="F25" t="s">
        <v>187</v>
      </c>
      <c r="G25" t="s">
        <v>188</v>
      </c>
      <c r="H25" t="str">
        <f>IFERROR(INDEX(Funcionarios!$C$3:$C$38,MATCH($C25,Funcionarios!$A$3:$A$38,0)),"")</f>
        <v>Auxiliar de Producao</v>
      </c>
      <c r="I25" t="str">
        <f>IFERROR(INDEX(Funcionarios!$H$3:$H$38,MATCH($C25,Funcionarios!$A$3:$A$38,0)),"")</f>
        <v>Producao ACME</v>
      </c>
    </row>
    <row r="26" spans="1:9" x14ac:dyDescent="0.3">
      <c r="A26">
        <v>2</v>
      </c>
      <c r="B26" t="s">
        <v>55</v>
      </c>
      <c r="C26">
        <v>248</v>
      </c>
      <c r="D26" t="s">
        <v>138</v>
      </c>
      <c r="E26">
        <v>1171.9100000000001</v>
      </c>
      <c r="F26" t="s">
        <v>187</v>
      </c>
      <c r="G26" t="s">
        <v>188</v>
      </c>
      <c r="H26" t="str">
        <f>IFERROR(INDEX(Funcionarios!$C$3:$C$38,MATCH($C26,Funcionarios!$A$3:$A$38,0)),"")</f>
        <v>Soldador</v>
      </c>
      <c r="I26" t="str">
        <f>IFERROR(INDEX(Funcionarios!$H$3:$H$38,MATCH($C26,Funcionarios!$A$3:$A$38,0)),"")</f>
        <v>Producao ACME</v>
      </c>
    </row>
    <row r="27" spans="1:9" x14ac:dyDescent="0.3">
      <c r="A27">
        <v>3</v>
      </c>
      <c r="B27" t="s">
        <v>61</v>
      </c>
      <c r="C27">
        <v>117</v>
      </c>
      <c r="D27" t="s">
        <v>141</v>
      </c>
      <c r="E27">
        <v>1195.81</v>
      </c>
      <c r="F27" t="s">
        <v>187</v>
      </c>
      <c r="G27" t="s">
        <v>188</v>
      </c>
      <c r="H27" t="str">
        <f>IFERROR(INDEX(Funcionarios!$C$3:$C$38,MATCH($C27,Funcionarios!$A$3:$A$38,0)),"")</f>
        <v>Pedreiro</v>
      </c>
      <c r="I27" t="str">
        <f>IFERROR(INDEX(Funcionarios!$H$3:$H$38,MATCH($C27,Funcionarios!$A$3:$A$38,0)),"")</f>
        <v>Operacional ACME</v>
      </c>
    </row>
    <row r="28" spans="1:9" x14ac:dyDescent="0.3">
      <c r="A28">
        <v>6</v>
      </c>
      <c r="B28" t="s">
        <v>97</v>
      </c>
      <c r="C28">
        <v>166</v>
      </c>
      <c r="D28" t="s">
        <v>145</v>
      </c>
      <c r="E28">
        <v>1311.88</v>
      </c>
      <c r="F28" t="s">
        <v>187</v>
      </c>
      <c r="G28" t="s">
        <v>188</v>
      </c>
      <c r="H28" t="str">
        <f>IFERROR(INDEX(Funcionarios!$C$3:$C$38,MATCH($C28,Funcionarios!$A$3:$A$38,0)),"")</f>
        <v>Almoxarife</v>
      </c>
      <c r="I28" t="str">
        <f>IFERROR(INDEX(Funcionarios!$H$3:$H$38,MATCH($C28,Funcionarios!$A$3:$A$38,0)),"")</f>
        <v>Producao ACME</v>
      </c>
    </row>
    <row r="29" spans="1:9" x14ac:dyDescent="0.3">
      <c r="A29">
        <v>2</v>
      </c>
      <c r="B29" t="s">
        <v>55</v>
      </c>
      <c r="C29">
        <v>102</v>
      </c>
      <c r="D29" t="s">
        <v>148</v>
      </c>
      <c r="E29">
        <v>2129.19</v>
      </c>
      <c r="F29" t="s">
        <v>187</v>
      </c>
      <c r="G29" t="s">
        <v>188</v>
      </c>
      <c r="H29" t="str">
        <f>IFERROR(INDEX(Funcionarios!$C$3:$C$38,MATCH($C29,Funcionarios!$A$3:$A$38,0)),"")</f>
        <v>Supervisor de Producao</v>
      </c>
      <c r="I29" t="str">
        <f>IFERROR(INDEX(Funcionarios!$H$3:$H$38,MATCH($C29,Funcionarios!$A$3:$A$38,0)),"")</f>
        <v>Producao ACME</v>
      </c>
    </row>
    <row r="30" spans="1:9" x14ac:dyDescent="0.3">
      <c r="A30">
        <v>2</v>
      </c>
      <c r="B30" t="s">
        <v>55</v>
      </c>
      <c r="C30">
        <v>194</v>
      </c>
      <c r="D30" t="s">
        <v>151</v>
      </c>
      <c r="E30">
        <v>1417.65</v>
      </c>
      <c r="F30" t="s">
        <v>187</v>
      </c>
      <c r="G30" t="s">
        <v>188</v>
      </c>
      <c r="H30" t="str">
        <f>IFERROR(INDEX(Funcionarios!$C$3:$C$38,MATCH($C30,Funcionarios!$A$3:$A$38,0)),"")</f>
        <v>Operador de Maquinas</v>
      </c>
      <c r="I30" t="str">
        <f>IFERROR(INDEX(Funcionarios!$H$3:$H$38,MATCH($C30,Funcionarios!$A$3:$A$38,0)),"")</f>
        <v>Producao ACME</v>
      </c>
    </row>
    <row r="31" spans="1:9" x14ac:dyDescent="0.3">
      <c r="A31">
        <v>3</v>
      </c>
      <c r="B31" t="s">
        <v>61</v>
      </c>
      <c r="C31">
        <v>134</v>
      </c>
      <c r="D31" t="s">
        <v>154</v>
      </c>
      <c r="E31">
        <v>1105.6099999999999</v>
      </c>
      <c r="F31" t="s">
        <v>187</v>
      </c>
      <c r="G31" t="s">
        <v>188</v>
      </c>
      <c r="H31" t="str">
        <f>IFERROR(INDEX(Funcionarios!$C$3:$C$38,MATCH($C31,Funcionarios!$A$3:$A$38,0)),"")</f>
        <v>Operador de Maquinas</v>
      </c>
      <c r="I31" t="str">
        <f>IFERROR(INDEX(Funcionarios!$H$3:$H$38,MATCH($C31,Funcionarios!$A$3:$A$38,0)),"")</f>
        <v>Operacional ACME</v>
      </c>
    </row>
    <row r="32" spans="1:9" x14ac:dyDescent="0.3">
      <c r="A32">
        <v>5</v>
      </c>
      <c r="B32" t="s">
        <v>73</v>
      </c>
      <c r="C32">
        <v>229</v>
      </c>
      <c r="D32" t="s">
        <v>157</v>
      </c>
      <c r="E32">
        <v>3845.54</v>
      </c>
      <c r="F32" t="s">
        <v>187</v>
      </c>
      <c r="G32" t="s">
        <v>188</v>
      </c>
      <c r="H32" t="str">
        <f>IFERROR(INDEX(Funcionarios!$C$3:$C$38,MATCH($C32,Funcionarios!$A$3:$A$38,0)),"")</f>
        <v>Gerente Administrativo</v>
      </c>
      <c r="I32" t="str">
        <f>IFERROR(INDEX(Funcionarios!$H$3:$H$38,MATCH($C32,Funcionarios!$A$3:$A$38,0)),"")</f>
        <v>Fabrica ACME</v>
      </c>
    </row>
    <row r="33" spans="1:9" x14ac:dyDescent="0.3">
      <c r="A33">
        <v>1</v>
      </c>
      <c r="B33" t="s">
        <v>48</v>
      </c>
      <c r="C33">
        <v>141</v>
      </c>
      <c r="D33" t="s">
        <v>160</v>
      </c>
      <c r="E33">
        <v>1638.46</v>
      </c>
      <c r="F33" t="s">
        <v>187</v>
      </c>
      <c r="G33" t="s">
        <v>188</v>
      </c>
      <c r="H33" t="str">
        <f>IFERROR(INDEX(Funcionarios!$C$3:$C$38,MATCH($C33,Funcionarios!$A$3:$A$38,0)),"")</f>
        <v>Assistente Administrativo</v>
      </c>
      <c r="I33" t="str">
        <f>IFERROR(INDEX(Funcionarios!$H$3:$H$38,MATCH($C33,Funcionarios!$A$3:$A$38,0)),"")</f>
        <v>Fabrica ACME</v>
      </c>
    </row>
    <row r="34" spans="1:9" x14ac:dyDescent="0.3">
      <c r="A34">
        <v>9</v>
      </c>
      <c r="B34" t="s">
        <v>165</v>
      </c>
      <c r="C34">
        <v>239</v>
      </c>
      <c r="D34" t="s">
        <v>163</v>
      </c>
      <c r="E34">
        <v>1319.2</v>
      </c>
      <c r="F34" t="s">
        <v>187</v>
      </c>
      <c r="G34" t="s">
        <v>188</v>
      </c>
      <c r="H34" t="str">
        <f>IFERROR(INDEX(Funcionarios!$C$3:$C$38,MATCH($C34,Funcionarios!$A$3:$A$38,0)),"")</f>
        <v>Assistente Administrativo</v>
      </c>
      <c r="I34" t="str">
        <f>IFERROR(INDEX(Funcionarios!$H$3:$H$38,MATCH($C34,Funcionarios!$A$3:$A$38,0)),"")</f>
        <v>Escritorio ACME</v>
      </c>
    </row>
    <row r="35" spans="1:9" x14ac:dyDescent="0.3">
      <c r="A35">
        <v>2</v>
      </c>
      <c r="B35" t="s">
        <v>55</v>
      </c>
      <c r="C35">
        <v>191</v>
      </c>
      <c r="D35" t="s">
        <v>168</v>
      </c>
      <c r="E35">
        <v>1111.97</v>
      </c>
      <c r="F35" t="s">
        <v>187</v>
      </c>
      <c r="G35" t="s">
        <v>188</v>
      </c>
      <c r="H35" t="str">
        <f>IFERROR(INDEX(Funcionarios!$C$3:$C$38,MATCH($C35,Funcionarios!$A$3:$A$38,0)),"")</f>
        <v>Auxiliar de Producao</v>
      </c>
      <c r="I35" t="str">
        <f>IFERROR(INDEX(Funcionarios!$H$3:$H$38,MATCH($C35,Funcionarios!$A$3:$A$38,0)),"")</f>
        <v>Producao ACME</v>
      </c>
    </row>
    <row r="36" spans="1:9" x14ac:dyDescent="0.3">
      <c r="A36">
        <v>4</v>
      </c>
      <c r="B36" t="s">
        <v>67</v>
      </c>
      <c r="C36">
        <v>145</v>
      </c>
      <c r="D36" t="s">
        <v>171</v>
      </c>
      <c r="E36">
        <v>1020.09</v>
      </c>
      <c r="F36" t="s">
        <v>187</v>
      </c>
      <c r="G36" t="s">
        <v>188</v>
      </c>
      <c r="H36" t="str">
        <f>IFERROR(INDEX(Funcionarios!$C$3:$C$38,MATCH($C36,Funcionarios!$A$3:$A$38,0)),"")</f>
        <v>Auxiliar de Producao</v>
      </c>
      <c r="I36" t="str">
        <f>IFERROR(INDEX(Funcionarios!$H$3:$H$38,MATCH($C36,Funcionarios!$A$3:$A$38,0)),"")</f>
        <v>Operacional ACME</v>
      </c>
    </row>
    <row r="37" spans="1:9" x14ac:dyDescent="0.3">
      <c r="A37">
        <v>7</v>
      </c>
      <c r="B37" t="s">
        <v>121</v>
      </c>
      <c r="C37">
        <v>140</v>
      </c>
      <c r="D37" t="s">
        <v>174</v>
      </c>
      <c r="E37">
        <v>1471.33</v>
      </c>
      <c r="F37" t="s">
        <v>187</v>
      </c>
      <c r="G37" t="s">
        <v>188</v>
      </c>
      <c r="H37" t="str">
        <f>IFERROR(INDEX(Funcionarios!$C$3:$C$38,MATCH($C37,Funcionarios!$A$3:$A$38,0)),"")</f>
        <v>Assistente Administrativo</v>
      </c>
      <c r="I37" t="str">
        <f>IFERROR(INDEX(Funcionarios!$H$3:$H$38,MATCH($C37,Funcionarios!$A$3:$A$38,0)),"")</f>
        <v>DP/RH ACME</v>
      </c>
    </row>
    <row r="38" spans="1:9" x14ac:dyDescent="0.3">
      <c r="A38">
        <v>5</v>
      </c>
      <c r="B38" t="s">
        <v>73</v>
      </c>
      <c r="C38">
        <v>106</v>
      </c>
      <c r="D38" t="s">
        <v>177</v>
      </c>
      <c r="E38">
        <v>1419.51</v>
      </c>
      <c r="F38" t="s">
        <v>187</v>
      </c>
      <c r="G38" t="s">
        <v>188</v>
      </c>
      <c r="H38" t="str">
        <f>IFERROR(INDEX(Funcionarios!$C$3:$C$38,MATCH($C38,Funcionarios!$A$3:$A$38,0)),"")</f>
        <v>Assistente Administrativo</v>
      </c>
      <c r="I38" t="str">
        <f>IFERROR(INDEX(Funcionarios!$H$3:$H$38,MATCH($C38,Funcionarios!$A$3:$A$38,0)),"")</f>
        <v>Fabrica ACME</v>
      </c>
    </row>
    <row r="39" spans="1:9" x14ac:dyDescent="0.3">
      <c r="A39">
        <v>1</v>
      </c>
      <c r="B39" t="s">
        <v>48</v>
      </c>
      <c r="C39">
        <v>263</v>
      </c>
      <c r="D39" t="s">
        <v>45</v>
      </c>
      <c r="E39">
        <v>1056.24</v>
      </c>
      <c r="F39" t="s">
        <v>187</v>
      </c>
      <c r="G39" t="s">
        <v>189</v>
      </c>
      <c r="H39" t="str">
        <f>IFERROR(INDEX(Funcionarios!$C$3:$C$38,MATCH($C39,Funcionarios!$A$3:$A$38,0)),"")</f>
        <v>Assistente Administrativo</v>
      </c>
      <c r="I39" t="str">
        <f>IFERROR(INDEX(Funcionarios!$H$3:$H$38,MATCH($C39,Funcionarios!$A$3:$A$38,0)),"")</f>
        <v>Fabrica ACME</v>
      </c>
    </row>
    <row r="40" spans="1:9" x14ac:dyDescent="0.3">
      <c r="A40">
        <v>2</v>
      </c>
      <c r="B40" t="s">
        <v>55</v>
      </c>
      <c r="C40">
        <v>155</v>
      </c>
      <c r="D40" t="s">
        <v>52</v>
      </c>
      <c r="E40">
        <v>635.39</v>
      </c>
      <c r="F40" t="s">
        <v>187</v>
      </c>
      <c r="G40" t="s">
        <v>189</v>
      </c>
      <c r="H40" t="str">
        <f>IFERROR(INDEX(Funcionarios!$C$3:$C$38,MATCH($C40,Funcionarios!$A$3:$A$38,0)),"")</f>
        <v>Auxiliar de Producao</v>
      </c>
      <c r="I40" t="str">
        <f>IFERROR(INDEX(Funcionarios!$H$3:$H$38,MATCH($C40,Funcionarios!$A$3:$A$38,0)),"")</f>
        <v>Producao ACME</v>
      </c>
    </row>
    <row r="41" spans="1:9" x14ac:dyDescent="0.3">
      <c r="A41">
        <v>3</v>
      </c>
      <c r="B41" t="s">
        <v>61</v>
      </c>
      <c r="C41">
        <v>294</v>
      </c>
      <c r="D41" t="s">
        <v>58</v>
      </c>
      <c r="E41">
        <v>755.74</v>
      </c>
      <c r="F41" t="s">
        <v>187</v>
      </c>
      <c r="G41" t="s">
        <v>189</v>
      </c>
      <c r="H41" t="str">
        <f>IFERROR(INDEX(Funcionarios!$C$3:$C$38,MATCH($C41,Funcionarios!$A$3:$A$38,0)),"")</f>
        <v>Operador de Maquinas</v>
      </c>
      <c r="I41" t="str">
        <f>IFERROR(INDEX(Funcionarios!$H$3:$H$38,MATCH($C41,Funcionarios!$A$3:$A$38,0)),"")</f>
        <v>Operacional ACME</v>
      </c>
    </row>
    <row r="42" spans="1:9" x14ac:dyDescent="0.3">
      <c r="A42">
        <v>4</v>
      </c>
      <c r="B42" t="s">
        <v>67</v>
      </c>
      <c r="C42">
        <v>188</v>
      </c>
      <c r="D42" t="s">
        <v>64</v>
      </c>
      <c r="E42">
        <v>673.58</v>
      </c>
      <c r="F42" t="s">
        <v>187</v>
      </c>
      <c r="G42" t="s">
        <v>189</v>
      </c>
      <c r="H42" t="str">
        <f>IFERROR(INDEX(Funcionarios!$C$3:$C$38,MATCH($C42,Funcionarios!$A$3:$A$38,0)),"")</f>
        <v>Servente de Obras</v>
      </c>
      <c r="I42" t="str">
        <f>IFERROR(INDEX(Funcionarios!$H$3:$H$38,MATCH($C42,Funcionarios!$A$3:$A$38,0)),"")</f>
        <v>Operacional ACME</v>
      </c>
    </row>
    <row r="43" spans="1:9" x14ac:dyDescent="0.3">
      <c r="A43">
        <v>5</v>
      </c>
      <c r="B43" t="s">
        <v>73</v>
      </c>
      <c r="C43">
        <v>247</v>
      </c>
      <c r="D43" t="s">
        <v>70</v>
      </c>
      <c r="E43">
        <v>3732.27</v>
      </c>
      <c r="F43" t="s">
        <v>187</v>
      </c>
      <c r="G43" t="s">
        <v>189</v>
      </c>
      <c r="H43" t="str">
        <f>IFERROR(INDEX(Funcionarios!$C$3:$C$38,MATCH($C43,Funcionarios!$A$3:$A$38,0)),"")</f>
        <v>Gerente Administrativo</v>
      </c>
      <c r="I43" t="str">
        <f>IFERROR(INDEX(Funcionarios!$H$3:$H$38,MATCH($C43,Funcionarios!$A$3:$A$38,0)),"")</f>
        <v>Fabrica ACME</v>
      </c>
    </row>
    <row r="44" spans="1:9" x14ac:dyDescent="0.3">
      <c r="A44">
        <v>3</v>
      </c>
      <c r="B44" t="s">
        <v>61</v>
      </c>
      <c r="C44">
        <v>171</v>
      </c>
      <c r="D44" t="s">
        <v>75</v>
      </c>
      <c r="E44">
        <v>946.32</v>
      </c>
      <c r="F44" t="s">
        <v>187</v>
      </c>
      <c r="G44" t="s">
        <v>189</v>
      </c>
      <c r="H44" t="str">
        <f>IFERROR(INDEX(Funcionarios!$C$3:$C$38,MATCH($C44,Funcionarios!$A$3:$A$38,0)),"")</f>
        <v>Operador de Maquinas</v>
      </c>
      <c r="I44" t="str">
        <f>IFERROR(INDEX(Funcionarios!$H$3:$H$38,MATCH($C44,Funcionarios!$A$3:$A$38,0)),"")</f>
        <v>Operacional ACME</v>
      </c>
    </row>
    <row r="45" spans="1:9" x14ac:dyDescent="0.3">
      <c r="A45">
        <v>5</v>
      </c>
      <c r="B45" t="s">
        <v>73</v>
      </c>
      <c r="C45">
        <v>255</v>
      </c>
      <c r="D45" t="s">
        <v>78</v>
      </c>
      <c r="E45">
        <v>2034.28</v>
      </c>
      <c r="F45" t="s">
        <v>187</v>
      </c>
      <c r="G45" t="s">
        <v>189</v>
      </c>
      <c r="H45" t="str">
        <f>IFERROR(INDEX(Funcionarios!$C$3:$C$38,MATCH($C45,Funcionarios!$A$3:$A$38,0)),"")</f>
        <v>Supervisor de Producao</v>
      </c>
      <c r="I45" t="str">
        <f>IFERROR(INDEX(Funcionarios!$H$3:$H$38,MATCH($C45,Funcionarios!$A$3:$A$38,0)),"")</f>
        <v>Fabrica ACME</v>
      </c>
    </row>
    <row r="46" spans="1:9" x14ac:dyDescent="0.3">
      <c r="A46">
        <v>1</v>
      </c>
      <c r="B46" t="s">
        <v>48</v>
      </c>
      <c r="C46">
        <v>296</v>
      </c>
      <c r="D46" t="s">
        <v>82</v>
      </c>
      <c r="E46">
        <v>879.31</v>
      </c>
      <c r="F46" t="s">
        <v>187</v>
      </c>
      <c r="G46" t="s">
        <v>189</v>
      </c>
      <c r="H46" t="str">
        <f>IFERROR(INDEX(Funcionarios!$C$3:$C$38,MATCH($C46,Funcionarios!$A$3:$A$38,0)),"")</f>
        <v>Auxiliar Administrativo</v>
      </c>
      <c r="I46" t="str">
        <f>IFERROR(INDEX(Funcionarios!$H$3:$H$38,MATCH($C46,Funcionarios!$A$3:$A$38,0)),"")</f>
        <v>Fabrica ACME</v>
      </c>
    </row>
    <row r="47" spans="1:9" x14ac:dyDescent="0.3">
      <c r="A47">
        <v>3</v>
      </c>
      <c r="B47" t="s">
        <v>61</v>
      </c>
      <c r="C47">
        <v>154</v>
      </c>
      <c r="D47" t="s">
        <v>86</v>
      </c>
      <c r="E47">
        <v>953.01</v>
      </c>
      <c r="F47" t="s">
        <v>187</v>
      </c>
      <c r="G47" t="s">
        <v>189</v>
      </c>
      <c r="H47" t="str">
        <f>IFERROR(INDEX(Funcionarios!$C$3:$C$38,MATCH($C47,Funcionarios!$A$3:$A$38,0)),"")</f>
        <v>Operador de Maquinas</v>
      </c>
      <c r="I47" t="str">
        <f>IFERROR(INDEX(Funcionarios!$H$3:$H$38,MATCH($C47,Funcionarios!$A$3:$A$38,0)),"")</f>
        <v>Operacional ACME</v>
      </c>
    </row>
    <row r="48" spans="1:9" x14ac:dyDescent="0.3">
      <c r="A48">
        <v>1</v>
      </c>
      <c r="B48" t="s">
        <v>48</v>
      </c>
      <c r="C48">
        <v>192</v>
      </c>
      <c r="D48" t="s">
        <v>89</v>
      </c>
      <c r="E48">
        <v>787.89</v>
      </c>
      <c r="F48" t="s">
        <v>187</v>
      </c>
      <c r="G48" t="s">
        <v>189</v>
      </c>
      <c r="H48" t="str">
        <f>IFERROR(INDEX(Funcionarios!$C$3:$C$38,MATCH($C48,Funcionarios!$A$3:$A$38,0)),"")</f>
        <v>Auxiliar Administrativo</v>
      </c>
      <c r="I48" t="str">
        <f>IFERROR(INDEX(Funcionarios!$H$3:$H$38,MATCH($C48,Funcionarios!$A$3:$A$38,0)),"")</f>
        <v>Fabrica ACME</v>
      </c>
    </row>
    <row r="49" spans="1:9" x14ac:dyDescent="0.3">
      <c r="A49">
        <v>2</v>
      </c>
      <c r="B49" t="s">
        <v>55</v>
      </c>
      <c r="C49">
        <v>252</v>
      </c>
      <c r="D49" t="s">
        <v>92</v>
      </c>
      <c r="E49">
        <v>2146.33</v>
      </c>
      <c r="F49" t="s">
        <v>187</v>
      </c>
      <c r="G49" t="s">
        <v>189</v>
      </c>
      <c r="H49" t="str">
        <f>IFERROR(INDEX(Funcionarios!$C$3:$C$38,MATCH($C49,Funcionarios!$A$3:$A$38,0)),"")</f>
        <v>Supervisor de Producao</v>
      </c>
      <c r="I49" t="str">
        <f>IFERROR(INDEX(Funcionarios!$H$3:$H$38,MATCH($C49,Funcionarios!$A$3:$A$38,0)),"")</f>
        <v>Producao ACME</v>
      </c>
    </row>
    <row r="50" spans="1:9" x14ac:dyDescent="0.3">
      <c r="A50">
        <v>6</v>
      </c>
      <c r="B50" t="s">
        <v>97</v>
      </c>
      <c r="C50">
        <v>274</v>
      </c>
      <c r="D50" t="s">
        <v>95</v>
      </c>
      <c r="E50">
        <v>626.59</v>
      </c>
      <c r="F50" t="s">
        <v>187</v>
      </c>
      <c r="G50" t="s">
        <v>189</v>
      </c>
      <c r="H50" t="str">
        <f>IFERROR(INDEX(Funcionarios!$C$3:$C$38,MATCH($C50,Funcionarios!$A$3:$A$38,0)),"")</f>
        <v>Servente de Obras</v>
      </c>
      <c r="I50" t="str">
        <f>IFERROR(INDEX(Funcionarios!$H$3:$H$38,MATCH($C50,Funcionarios!$A$3:$A$38,0)),"")</f>
        <v>Producao ACME</v>
      </c>
    </row>
    <row r="51" spans="1:9" x14ac:dyDescent="0.3">
      <c r="A51">
        <v>2</v>
      </c>
      <c r="B51" t="s">
        <v>55</v>
      </c>
      <c r="C51">
        <v>228</v>
      </c>
      <c r="D51" t="s">
        <v>99</v>
      </c>
      <c r="E51">
        <v>928.94</v>
      </c>
      <c r="F51" t="s">
        <v>187</v>
      </c>
      <c r="G51" t="s">
        <v>189</v>
      </c>
      <c r="H51" t="str">
        <f>IFERROR(INDEX(Funcionarios!$C$3:$C$38,MATCH($C51,Funcionarios!$A$3:$A$38,0)),"")</f>
        <v>Soldador</v>
      </c>
      <c r="I51" t="str">
        <f>IFERROR(INDEX(Funcionarios!$H$3:$H$38,MATCH($C51,Funcionarios!$A$3:$A$38,0)),"")</f>
        <v>Producao ACME</v>
      </c>
    </row>
    <row r="52" spans="1:9" x14ac:dyDescent="0.3">
      <c r="A52">
        <v>5</v>
      </c>
      <c r="B52" t="s">
        <v>73</v>
      </c>
      <c r="C52">
        <v>253</v>
      </c>
      <c r="D52" t="s">
        <v>103</v>
      </c>
      <c r="E52">
        <v>2671.04</v>
      </c>
      <c r="F52" t="s">
        <v>187</v>
      </c>
      <c r="G52" t="s">
        <v>189</v>
      </c>
      <c r="H52" t="str">
        <f>IFERROR(INDEX(Funcionarios!$C$3:$C$38,MATCH($C52,Funcionarios!$A$3:$A$38,0)),"")</f>
        <v>Gerente Administrativo</v>
      </c>
      <c r="I52" t="str">
        <f>IFERROR(INDEX(Funcionarios!$H$3:$H$38,MATCH($C52,Funcionarios!$A$3:$A$38,0)),"")</f>
        <v>Fabrica ACME</v>
      </c>
    </row>
    <row r="53" spans="1:9" x14ac:dyDescent="0.3">
      <c r="A53">
        <v>6</v>
      </c>
      <c r="B53" t="s">
        <v>97</v>
      </c>
      <c r="C53">
        <v>121</v>
      </c>
      <c r="D53" t="s">
        <v>106</v>
      </c>
      <c r="E53">
        <v>1002.65</v>
      </c>
      <c r="F53" t="s">
        <v>187</v>
      </c>
      <c r="G53" t="s">
        <v>189</v>
      </c>
      <c r="H53" t="str">
        <f>IFERROR(INDEX(Funcionarios!$C$3:$C$38,MATCH($C53,Funcionarios!$A$3:$A$38,0)),"")</f>
        <v>Almoxarife</v>
      </c>
      <c r="I53" t="str">
        <f>IFERROR(INDEX(Funcionarios!$H$3:$H$38,MATCH($C53,Funcionarios!$A$3:$A$38,0)),"")</f>
        <v>Producao ACME</v>
      </c>
    </row>
    <row r="54" spans="1:9" x14ac:dyDescent="0.3">
      <c r="A54">
        <v>4</v>
      </c>
      <c r="B54" t="s">
        <v>67</v>
      </c>
      <c r="C54">
        <v>235</v>
      </c>
      <c r="D54" t="s">
        <v>110</v>
      </c>
      <c r="E54">
        <v>675.58</v>
      </c>
      <c r="F54" t="s">
        <v>187</v>
      </c>
      <c r="G54" t="s">
        <v>189</v>
      </c>
      <c r="H54" t="str">
        <f>IFERROR(INDEX(Funcionarios!$C$3:$C$38,MATCH($C54,Funcionarios!$A$3:$A$38,0)),"")</f>
        <v>Auxiliar de Producao</v>
      </c>
      <c r="I54" t="str">
        <f>IFERROR(INDEX(Funcionarios!$H$3:$H$38,MATCH($C54,Funcionarios!$A$3:$A$38,0)),"")</f>
        <v>Operacional ACME</v>
      </c>
    </row>
    <row r="55" spans="1:9" x14ac:dyDescent="0.3">
      <c r="A55">
        <v>3</v>
      </c>
      <c r="B55" t="s">
        <v>61</v>
      </c>
      <c r="C55">
        <v>130</v>
      </c>
      <c r="D55" t="s">
        <v>113</v>
      </c>
      <c r="E55">
        <v>581.16</v>
      </c>
      <c r="F55" t="s">
        <v>187</v>
      </c>
      <c r="G55" t="s">
        <v>189</v>
      </c>
      <c r="H55" t="str">
        <f>IFERROR(INDEX(Funcionarios!$C$3:$C$38,MATCH($C55,Funcionarios!$A$3:$A$38,0)),"")</f>
        <v>Servente de Obras</v>
      </c>
      <c r="I55" t="str">
        <f>IFERROR(INDEX(Funcionarios!$H$3:$H$38,MATCH($C55,Funcionarios!$A$3:$A$38,0)),"")</f>
        <v>Operacional ACME</v>
      </c>
    </row>
    <row r="56" spans="1:9" x14ac:dyDescent="0.3">
      <c r="A56">
        <v>5</v>
      </c>
      <c r="B56" t="s">
        <v>73</v>
      </c>
      <c r="C56">
        <v>158</v>
      </c>
      <c r="D56" t="s">
        <v>116</v>
      </c>
      <c r="E56">
        <v>1872.72</v>
      </c>
      <c r="F56" t="s">
        <v>187</v>
      </c>
      <c r="G56" t="s">
        <v>189</v>
      </c>
      <c r="H56" t="str">
        <f>IFERROR(INDEX(Funcionarios!$C$3:$C$38,MATCH($C56,Funcionarios!$A$3:$A$38,0)),"")</f>
        <v>Supervisor de Producao</v>
      </c>
      <c r="I56" t="str">
        <f>IFERROR(INDEX(Funcionarios!$H$3:$H$38,MATCH($C56,Funcionarios!$A$3:$A$38,0)),"")</f>
        <v>Fabrica ACME</v>
      </c>
    </row>
    <row r="57" spans="1:9" x14ac:dyDescent="0.3">
      <c r="A57">
        <v>7</v>
      </c>
      <c r="B57" t="s">
        <v>121</v>
      </c>
      <c r="C57">
        <v>162</v>
      </c>
      <c r="D57" t="s">
        <v>119</v>
      </c>
      <c r="E57">
        <v>910.19</v>
      </c>
      <c r="F57" t="s">
        <v>187</v>
      </c>
      <c r="G57" t="s">
        <v>189</v>
      </c>
      <c r="H57" t="str">
        <f>IFERROR(INDEX(Funcionarios!$C$3:$C$38,MATCH($C57,Funcionarios!$A$3:$A$38,0)),"")</f>
        <v>Assistente Administrativo</v>
      </c>
      <c r="I57" t="str">
        <f>IFERROR(INDEX(Funcionarios!$H$3:$H$38,MATCH($C57,Funcionarios!$A$3:$A$38,0)),"")</f>
        <v>DP/RH ACME</v>
      </c>
    </row>
    <row r="58" spans="1:9" x14ac:dyDescent="0.3">
      <c r="A58">
        <v>1</v>
      </c>
      <c r="B58" t="s">
        <v>48</v>
      </c>
      <c r="C58">
        <v>272</v>
      </c>
      <c r="D58" t="s">
        <v>124</v>
      </c>
      <c r="E58">
        <v>668.98</v>
      </c>
      <c r="F58" t="s">
        <v>187</v>
      </c>
      <c r="G58" t="s">
        <v>189</v>
      </c>
      <c r="H58" t="str">
        <f>IFERROR(INDEX(Funcionarios!$C$3:$C$38,MATCH($C58,Funcionarios!$A$3:$A$38,0)),"")</f>
        <v>Auxiliar Administrativo</v>
      </c>
      <c r="I58" t="str">
        <f>IFERROR(INDEX(Funcionarios!$H$3:$H$38,MATCH($C58,Funcionarios!$A$3:$A$38,0)),"")</f>
        <v>Fabrica ACME</v>
      </c>
    </row>
    <row r="59" spans="1:9" x14ac:dyDescent="0.3">
      <c r="A59">
        <v>1</v>
      </c>
      <c r="B59" t="s">
        <v>48</v>
      </c>
      <c r="C59">
        <v>208</v>
      </c>
      <c r="D59" t="s">
        <v>127</v>
      </c>
      <c r="E59">
        <v>713.82</v>
      </c>
      <c r="F59" t="s">
        <v>187</v>
      </c>
      <c r="G59" t="s">
        <v>189</v>
      </c>
      <c r="H59" t="str">
        <f>IFERROR(INDEX(Funcionarios!$C$3:$C$38,MATCH($C59,Funcionarios!$A$3:$A$38,0)),"")</f>
        <v>Auxiliar de Almoxarifado</v>
      </c>
      <c r="I59" t="str">
        <f>IFERROR(INDEX(Funcionarios!$H$3:$H$38,MATCH($C59,Funcionarios!$A$3:$A$38,0)),"")</f>
        <v>Fabrica ACME</v>
      </c>
    </row>
    <row r="60" spans="1:9" x14ac:dyDescent="0.3">
      <c r="A60">
        <v>8</v>
      </c>
      <c r="B60" t="s">
        <v>133</v>
      </c>
      <c r="C60">
        <v>112</v>
      </c>
      <c r="D60" t="s">
        <v>131</v>
      </c>
      <c r="E60">
        <v>1222.71</v>
      </c>
      <c r="F60" t="s">
        <v>187</v>
      </c>
      <c r="G60" t="s">
        <v>189</v>
      </c>
      <c r="H60" t="str">
        <f>IFERROR(INDEX(Funcionarios!$C$3:$C$38,MATCH($C60,Funcionarios!$A$3:$A$38,0)),"")</f>
        <v>Soldador</v>
      </c>
      <c r="I60" t="str">
        <f>IFERROR(INDEX(Funcionarios!$H$3:$H$38,MATCH($C60,Funcionarios!$A$3:$A$38,0)),"")</f>
        <v>Producao ACME</v>
      </c>
    </row>
    <row r="61" spans="1:9" x14ac:dyDescent="0.3">
      <c r="A61">
        <v>2</v>
      </c>
      <c r="B61" t="s">
        <v>55</v>
      </c>
      <c r="C61">
        <v>197</v>
      </c>
      <c r="D61" t="s">
        <v>135</v>
      </c>
      <c r="E61">
        <v>658.95</v>
      </c>
      <c r="F61" t="s">
        <v>187</v>
      </c>
      <c r="G61" t="s">
        <v>189</v>
      </c>
      <c r="H61" t="str">
        <f>IFERROR(INDEX(Funcionarios!$C$3:$C$38,MATCH($C61,Funcionarios!$A$3:$A$38,0)),"")</f>
        <v>Auxiliar de Producao</v>
      </c>
      <c r="I61" t="str">
        <f>IFERROR(INDEX(Funcionarios!$H$3:$H$38,MATCH($C61,Funcionarios!$A$3:$A$38,0)),"")</f>
        <v>Producao ACME</v>
      </c>
    </row>
    <row r="62" spans="1:9" x14ac:dyDescent="0.3">
      <c r="A62">
        <v>2</v>
      </c>
      <c r="B62" t="s">
        <v>55</v>
      </c>
      <c r="C62">
        <v>248</v>
      </c>
      <c r="D62" t="s">
        <v>138</v>
      </c>
      <c r="E62">
        <v>863.33</v>
      </c>
      <c r="F62" t="s">
        <v>187</v>
      </c>
      <c r="G62" t="s">
        <v>189</v>
      </c>
      <c r="H62" t="str">
        <f>IFERROR(INDEX(Funcionarios!$C$3:$C$38,MATCH($C62,Funcionarios!$A$3:$A$38,0)),"")</f>
        <v>Soldador</v>
      </c>
      <c r="I62" t="str">
        <f>IFERROR(INDEX(Funcionarios!$H$3:$H$38,MATCH($C62,Funcionarios!$A$3:$A$38,0)),"")</f>
        <v>Producao ACME</v>
      </c>
    </row>
    <row r="63" spans="1:9" x14ac:dyDescent="0.3">
      <c r="A63">
        <v>3</v>
      </c>
      <c r="B63" t="s">
        <v>61</v>
      </c>
      <c r="C63">
        <v>117</v>
      </c>
      <c r="D63" t="s">
        <v>141</v>
      </c>
      <c r="E63">
        <v>942.14</v>
      </c>
      <c r="F63" t="s">
        <v>187</v>
      </c>
      <c r="G63" t="s">
        <v>189</v>
      </c>
      <c r="H63" t="str">
        <f>IFERROR(INDEX(Funcionarios!$C$3:$C$38,MATCH($C63,Funcionarios!$A$3:$A$38,0)),"")</f>
        <v>Pedreiro</v>
      </c>
      <c r="I63" t="str">
        <f>IFERROR(INDEX(Funcionarios!$H$3:$H$38,MATCH($C63,Funcionarios!$A$3:$A$38,0)),"")</f>
        <v>Operacional ACME</v>
      </c>
    </row>
    <row r="64" spans="1:9" x14ac:dyDescent="0.3">
      <c r="A64">
        <v>6</v>
      </c>
      <c r="B64" t="s">
        <v>97</v>
      </c>
      <c r="C64">
        <v>166</v>
      </c>
      <c r="D64" t="s">
        <v>145</v>
      </c>
      <c r="E64">
        <v>944.61</v>
      </c>
      <c r="F64" t="s">
        <v>187</v>
      </c>
      <c r="G64" t="s">
        <v>189</v>
      </c>
      <c r="H64" t="str">
        <f>IFERROR(INDEX(Funcionarios!$C$3:$C$38,MATCH($C64,Funcionarios!$A$3:$A$38,0)),"")</f>
        <v>Almoxarife</v>
      </c>
      <c r="I64" t="str">
        <f>IFERROR(INDEX(Funcionarios!$H$3:$H$38,MATCH($C64,Funcionarios!$A$3:$A$38,0)),"")</f>
        <v>Producao ACME</v>
      </c>
    </row>
    <row r="65" spans="1:9" x14ac:dyDescent="0.3">
      <c r="A65">
        <v>2</v>
      </c>
      <c r="B65" t="s">
        <v>55</v>
      </c>
      <c r="C65">
        <v>102</v>
      </c>
      <c r="D65" t="s">
        <v>148</v>
      </c>
      <c r="E65">
        <v>1596.8</v>
      </c>
      <c r="F65" t="s">
        <v>187</v>
      </c>
      <c r="G65" t="s">
        <v>189</v>
      </c>
      <c r="H65" t="str">
        <f>IFERROR(INDEX(Funcionarios!$C$3:$C$38,MATCH($C65,Funcionarios!$A$3:$A$38,0)),"")</f>
        <v>Supervisor de Producao</v>
      </c>
      <c r="I65" t="str">
        <f>IFERROR(INDEX(Funcionarios!$H$3:$H$38,MATCH($C65,Funcionarios!$A$3:$A$38,0)),"")</f>
        <v>Producao ACME</v>
      </c>
    </row>
    <row r="66" spans="1:9" x14ac:dyDescent="0.3">
      <c r="A66">
        <v>2</v>
      </c>
      <c r="B66" t="s">
        <v>55</v>
      </c>
      <c r="C66">
        <v>194</v>
      </c>
      <c r="D66" t="s">
        <v>151</v>
      </c>
      <c r="E66">
        <v>984.45</v>
      </c>
      <c r="F66" t="s">
        <v>187</v>
      </c>
      <c r="G66" t="s">
        <v>189</v>
      </c>
      <c r="H66" t="str">
        <f>IFERROR(INDEX(Funcionarios!$C$3:$C$38,MATCH($C66,Funcionarios!$A$3:$A$38,0)),"")</f>
        <v>Operador de Maquinas</v>
      </c>
      <c r="I66" t="str">
        <f>IFERROR(INDEX(Funcionarios!$H$3:$H$38,MATCH($C66,Funcionarios!$A$3:$A$38,0)),"")</f>
        <v>Producao ACME</v>
      </c>
    </row>
    <row r="67" spans="1:9" x14ac:dyDescent="0.3">
      <c r="A67">
        <v>3</v>
      </c>
      <c r="B67" t="s">
        <v>61</v>
      </c>
      <c r="C67">
        <v>134</v>
      </c>
      <c r="D67" t="s">
        <v>154</v>
      </c>
      <c r="E67">
        <v>826.46</v>
      </c>
      <c r="F67" t="s">
        <v>187</v>
      </c>
      <c r="G67" t="s">
        <v>189</v>
      </c>
      <c r="H67" t="str">
        <f>IFERROR(INDEX(Funcionarios!$C$3:$C$38,MATCH($C67,Funcionarios!$A$3:$A$38,0)),"")</f>
        <v>Operador de Maquinas</v>
      </c>
      <c r="I67" t="str">
        <f>IFERROR(INDEX(Funcionarios!$H$3:$H$38,MATCH($C67,Funcionarios!$A$3:$A$38,0)),"")</f>
        <v>Operacional ACME</v>
      </c>
    </row>
    <row r="68" spans="1:9" x14ac:dyDescent="0.3">
      <c r="A68">
        <v>5</v>
      </c>
      <c r="B68" t="s">
        <v>73</v>
      </c>
      <c r="C68">
        <v>229</v>
      </c>
      <c r="D68" t="s">
        <v>157</v>
      </c>
      <c r="E68">
        <v>2681.69</v>
      </c>
      <c r="F68" t="s">
        <v>187</v>
      </c>
      <c r="G68" t="s">
        <v>189</v>
      </c>
      <c r="H68" t="str">
        <f>IFERROR(INDEX(Funcionarios!$C$3:$C$38,MATCH($C68,Funcionarios!$A$3:$A$38,0)),"")</f>
        <v>Gerente Administrativo</v>
      </c>
      <c r="I68" t="str">
        <f>IFERROR(INDEX(Funcionarios!$H$3:$H$38,MATCH($C68,Funcionarios!$A$3:$A$38,0)),"")</f>
        <v>Fabrica ACME</v>
      </c>
    </row>
    <row r="69" spans="1:9" x14ac:dyDescent="0.3">
      <c r="A69">
        <v>1</v>
      </c>
      <c r="B69" t="s">
        <v>48</v>
      </c>
      <c r="C69">
        <v>141</v>
      </c>
      <c r="D69" t="s">
        <v>160</v>
      </c>
      <c r="E69">
        <v>1208.8900000000001</v>
      </c>
      <c r="F69" t="s">
        <v>187</v>
      </c>
      <c r="G69" t="s">
        <v>189</v>
      </c>
      <c r="H69" t="str">
        <f>IFERROR(INDEX(Funcionarios!$C$3:$C$38,MATCH($C69,Funcionarios!$A$3:$A$38,0)),"")</f>
        <v>Assistente Administrativo</v>
      </c>
      <c r="I69" t="str">
        <f>IFERROR(INDEX(Funcionarios!$H$3:$H$38,MATCH($C69,Funcionarios!$A$3:$A$38,0)),"")</f>
        <v>Fabrica ACME</v>
      </c>
    </row>
    <row r="70" spans="1:9" x14ac:dyDescent="0.3">
      <c r="A70">
        <v>9</v>
      </c>
      <c r="B70" t="s">
        <v>165</v>
      </c>
      <c r="C70">
        <v>239</v>
      </c>
      <c r="D70" t="s">
        <v>163</v>
      </c>
      <c r="E70">
        <v>1021.63</v>
      </c>
      <c r="F70" t="s">
        <v>187</v>
      </c>
      <c r="G70" t="s">
        <v>189</v>
      </c>
      <c r="H70" t="str">
        <f>IFERROR(INDEX(Funcionarios!$C$3:$C$38,MATCH($C70,Funcionarios!$A$3:$A$38,0)),"")</f>
        <v>Assistente Administrativo</v>
      </c>
      <c r="I70" t="str">
        <f>IFERROR(INDEX(Funcionarios!$H$3:$H$38,MATCH($C70,Funcionarios!$A$3:$A$38,0)),"")</f>
        <v>Escritorio ACME</v>
      </c>
    </row>
    <row r="71" spans="1:9" x14ac:dyDescent="0.3">
      <c r="A71">
        <v>2</v>
      </c>
      <c r="B71" t="s">
        <v>55</v>
      </c>
      <c r="C71">
        <v>191</v>
      </c>
      <c r="D71" t="s">
        <v>168</v>
      </c>
      <c r="E71">
        <v>780.92</v>
      </c>
      <c r="F71" t="s">
        <v>187</v>
      </c>
      <c r="G71" t="s">
        <v>189</v>
      </c>
      <c r="H71" t="str">
        <f>IFERROR(INDEX(Funcionarios!$C$3:$C$38,MATCH($C71,Funcionarios!$A$3:$A$38,0)),"")</f>
        <v>Auxiliar de Producao</v>
      </c>
      <c r="I71" t="str">
        <f>IFERROR(INDEX(Funcionarios!$H$3:$H$38,MATCH($C71,Funcionarios!$A$3:$A$38,0)),"")</f>
        <v>Producao ACME</v>
      </c>
    </row>
    <row r="72" spans="1:9" x14ac:dyDescent="0.3">
      <c r="A72">
        <v>4</v>
      </c>
      <c r="B72" t="s">
        <v>67</v>
      </c>
      <c r="C72">
        <v>145</v>
      </c>
      <c r="D72" t="s">
        <v>171</v>
      </c>
      <c r="E72">
        <v>784.74</v>
      </c>
      <c r="F72" t="s">
        <v>187</v>
      </c>
      <c r="G72" t="s">
        <v>189</v>
      </c>
      <c r="H72" t="str">
        <f>IFERROR(INDEX(Funcionarios!$C$3:$C$38,MATCH($C72,Funcionarios!$A$3:$A$38,0)),"")</f>
        <v>Auxiliar de Producao</v>
      </c>
      <c r="I72" t="str">
        <f>IFERROR(INDEX(Funcionarios!$H$3:$H$38,MATCH($C72,Funcionarios!$A$3:$A$38,0)),"")</f>
        <v>Operacional ACME</v>
      </c>
    </row>
    <row r="73" spans="1:9" x14ac:dyDescent="0.3">
      <c r="A73">
        <v>7</v>
      </c>
      <c r="B73" t="s">
        <v>121</v>
      </c>
      <c r="C73">
        <v>140</v>
      </c>
      <c r="D73" t="s">
        <v>174</v>
      </c>
      <c r="E73">
        <v>1020.18</v>
      </c>
      <c r="F73" t="s">
        <v>187</v>
      </c>
      <c r="G73" t="s">
        <v>189</v>
      </c>
      <c r="H73" t="str">
        <f>IFERROR(INDEX(Funcionarios!$C$3:$C$38,MATCH($C73,Funcionarios!$A$3:$A$38,0)),"")</f>
        <v>Assistente Administrativo</v>
      </c>
      <c r="I73" t="str">
        <f>IFERROR(INDEX(Funcionarios!$H$3:$H$38,MATCH($C73,Funcionarios!$A$3:$A$38,0)),"")</f>
        <v>DP/RH ACME</v>
      </c>
    </row>
    <row r="74" spans="1:9" x14ac:dyDescent="0.3">
      <c r="A74">
        <v>5</v>
      </c>
      <c r="B74" t="s">
        <v>73</v>
      </c>
      <c r="C74">
        <v>106</v>
      </c>
      <c r="D74" t="s">
        <v>177</v>
      </c>
      <c r="E74">
        <v>1079.2</v>
      </c>
      <c r="F74" t="s">
        <v>187</v>
      </c>
      <c r="G74" t="s">
        <v>189</v>
      </c>
      <c r="H74" t="str">
        <f>IFERROR(INDEX(Funcionarios!$C$3:$C$38,MATCH($C74,Funcionarios!$A$3:$A$38,0)),"")</f>
        <v>Assistente Administrativo</v>
      </c>
      <c r="I74" t="str">
        <f>IFERROR(INDEX(Funcionarios!$H$3:$H$38,MATCH($C74,Funcionarios!$A$3:$A$38,0)),"")</f>
        <v>Fabrica ACME</v>
      </c>
    </row>
    <row r="75" spans="1:9" x14ac:dyDescent="0.3">
      <c r="A75">
        <v>1</v>
      </c>
      <c r="B75" t="s">
        <v>48</v>
      </c>
      <c r="C75">
        <v>263</v>
      </c>
      <c r="D75" t="s">
        <v>45</v>
      </c>
      <c r="E75">
        <v>447.45</v>
      </c>
      <c r="F75" t="s">
        <v>187</v>
      </c>
      <c r="G75" t="s">
        <v>190</v>
      </c>
      <c r="H75" t="str">
        <f>IFERROR(INDEX(Funcionarios!$C$3:$C$38,MATCH($C75,Funcionarios!$A$3:$A$38,0)),"")</f>
        <v>Assistente Administrativo</v>
      </c>
      <c r="I75" t="str">
        <f>IFERROR(INDEX(Funcionarios!$H$3:$H$38,MATCH($C75,Funcionarios!$A$3:$A$38,0)),"")</f>
        <v>Fabrica ACME</v>
      </c>
    </row>
    <row r="76" spans="1:9" x14ac:dyDescent="0.3">
      <c r="A76">
        <v>2</v>
      </c>
      <c r="B76" t="s">
        <v>55</v>
      </c>
      <c r="C76">
        <v>155</v>
      </c>
      <c r="D76" t="s">
        <v>52</v>
      </c>
      <c r="E76">
        <v>185.3</v>
      </c>
      <c r="F76" t="s">
        <v>187</v>
      </c>
      <c r="G76" t="s">
        <v>190</v>
      </c>
      <c r="H76" t="str">
        <f>IFERROR(INDEX(Funcionarios!$C$3:$C$38,MATCH($C76,Funcionarios!$A$3:$A$38,0)),"")</f>
        <v>Auxiliar de Producao</v>
      </c>
      <c r="I76" t="str">
        <f>IFERROR(INDEX(Funcionarios!$H$3:$H$38,MATCH($C76,Funcionarios!$A$3:$A$38,0)),"")</f>
        <v>Producao ACME</v>
      </c>
    </row>
    <row r="77" spans="1:9" x14ac:dyDescent="0.3">
      <c r="A77">
        <v>4</v>
      </c>
      <c r="B77" t="s">
        <v>67</v>
      </c>
      <c r="C77">
        <v>188</v>
      </c>
      <c r="D77" t="s">
        <v>64</v>
      </c>
      <c r="E77">
        <v>88.35</v>
      </c>
      <c r="F77" t="s">
        <v>187</v>
      </c>
      <c r="G77" t="s">
        <v>190</v>
      </c>
      <c r="H77" t="str">
        <f>IFERROR(INDEX(Funcionarios!$C$3:$C$38,MATCH($C77,Funcionarios!$A$3:$A$38,0)),"")</f>
        <v>Servente de Obras</v>
      </c>
      <c r="I77" t="str">
        <f>IFERROR(INDEX(Funcionarios!$H$3:$H$38,MATCH($C77,Funcionarios!$A$3:$A$38,0)),"")</f>
        <v>Operacional ACME</v>
      </c>
    </row>
    <row r="78" spans="1:9" x14ac:dyDescent="0.3">
      <c r="A78">
        <v>3</v>
      </c>
      <c r="B78" t="s">
        <v>61</v>
      </c>
      <c r="C78">
        <v>154</v>
      </c>
      <c r="D78" t="s">
        <v>86</v>
      </c>
      <c r="E78">
        <v>127.86</v>
      </c>
      <c r="F78" t="s">
        <v>187</v>
      </c>
      <c r="G78" t="s">
        <v>190</v>
      </c>
      <c r="H78" t="str">
        <f>IFERROR(INDEX(Funcionarios!$C$3:$C$38,MATCH($C78,Funcionarios!$A$3:$A$38,0)),"")</f>
        <v>Operador de Maquinas</v>
      </c>
      <c r="I78" t="str">
        <f>IFERROR(INDEX(Funcionarios!$H$3:$H$38,MATCH($C78,Funcionarios!$A$3:$A$38,0)),"")</f>
        <v>Operacional ACME</v>
      </c>
    </row>
    <row r="79" spans="1:9" x14ac:dyDescent="0.3">
      <c r="A79">
        <v>6</v>
      </c>
      <c r="B79" t="s">
        <v>97</v>
      </c>
      <c r="C79">
        <v>274</v>
      </c>
      <c r="D79" t="s">
        <v>95</v>
      </c>
      <c r="E79">
        <v>109.82</v>
      </c>
      <c r="F79" t="s">
        <v>187</v>
      </c>
      <c r="G79" t="s">
        <v>190</v>
      </c>
      <c r="H79" t="str">
        <f>IFERROR(INDEX(Funcionarios!$C$3:$C$38,MATCH($C79,Funcionarios!$A$3:$A$38,0)),"")</f>
        <v>Servente de Obras</v>
      </c>
      <c r="I79" t="str">
        <f>IFERROR(INDEX(Funcionarios!$H$3:$H$38,MATCH($C79,Funcionarios!$A$3:$A$38,0)),"")</f>
        <v>Producao ACME</v>
      </c>
    </row>
    <row r="80" spans="1:9" x14ac:dyDescent="0.3">
      <c r="A80">
        <v>6</v>
      </c>
      <c r="B80" t="s">
        <v>97</v>
      </c>
      <c r="C80">
        <v>121</v>
      </c>
      <c r="D80" t="s">
        <v>106</v>
      </c>
      <c r="E80">
        <v>383.13</v>
      </c>
      <c r="F80" t="s">
        <v>187</v>
      </c>
      <c r="G80" t="s">
        <v>190</v>
      </c>
      <c r="H80" t="str">
        <f>IFERROR(INDEX(Funcionarios!$C$3:$C$38,MATCH($C80,Funcionarios!$A$3:$A$38,0)),"")</f>
        <v>Almoxarife</v>
      </c>
      <c r="I80" t="str">
        <f>IFERROR(INDEX(Funcionarios!$H$3:$H$38,MATCH($C80,Funcionarios!$A$3:$A$38,0)),"")</f>
        <v>Producao ACME</v>
      </c>
    </row>
    <row r="81" spans="1:9" x14ac:dyDescent="0.3">
      <c r="A81">
        <v>4</v>
      </c>
      <c r="B81" t="s">
        <v>67</v>
      </c>
      <c r="C81">
        <v>235</v>
      </c>
      <c r="D81" t="s">
        <v>110</v>
      </c>
      <c r="E81">
        <v>183.02</v>
      </c>
      <c r="F81" t="s">
        <v>187</v>
      </c>
      <c r="G81" t="s">
        <v>190</v>
      </c>
      <c r="H81" t="str">
        <f>IFERROR(INDEX(Funcionarios!$C$3:$C$38,MATCH($C81,Funcionarios!$A$3:$A$38,0)),"")</f>
        <v>Auxiliar de Producao</v>
      </c>
      <c r="I81" t="str">
        <f>IFERROR(INDEX(Funcionarios!$H$3:$H$38,MATCH($C81,Funcionarios!$A$3:$A$38,0)),"")</f>
        <v>Operacional ACME</v>
      </c>
    </row>
    <row r="82" spans="1:9" x14ac:dyDescent="0.3">
      <c r="A82">
        <v>7</v>
      </c>
      <c r="B82" t="s">
        <v>121</v>
      </c>
      <c r="C82">
        <v>162</v>
      </c>
      <c r="D82" t="s">
        <v>119</v>
      </c>
      <c r="E82">
        <v>434.36</v>
      </c>
      <c r="F82" t="s">
        <v>187</v>
      </c>
      <c r="G82" t="s">
        <v>190</v>
      </c>
      <c r="H82" t="str">
        <f>IFERROR(INDEX(Funcionarios!$C$3:$C$38,MATCH($C82,Funcionarios!$A$3:$A$38,0)),"")</f>
        <v>Assistente Administrativo</v>
      </c>
      <c r="I82" t="str">
        <f>IFERROR(INDEX(Funcionarios!$H$3:$H$38,MATCH($C82,Funcionarios!$A$3:$A$38,0)),"")</f>
        <v>DP/RH ACME</v>
      </c>
    </row>
    <row r="83" spans="1:9" x14ac:dyDescent="0.3">
      <c r="A83">
        <v>1</v>
      </c>
      <c r="B83" t="s">
        <v>48</v>
      </c>
      <c r="C83">
        <v>141</v>
      </c>
      <c r="D83" t="s">
        <v>160</v>
      </c>
      <c r="E83">
        <v>335.48</v>
      </c>
      <c r="F83" t="s">
        <v>187</v>
      </c>
      <c r="G83" t="s">
        <v>190</v>
      </c>
      <c r="H83" t="str">
        <f>IFERROR(INDEX(Funcionarios!$C$3:$C$38,MATCH($C83,Funcionarios!$A$3:$A$38,0)),"")</f>
        <v>Assistente Administrativo</v>
      </c>
      <c r="I83" t="str">
        <f>IFERROR(INDEX(Funcionarios!$H$3:$H$38,MATCH($C83,Funcionarios!$A$3:$A$38,0)),"")</f>
        <v>Fabrica ACME</v>
      </c>
    </row>
    <row r="84" spans="1:9" x14ac:dyDescent="0.3">
      <c r="A84">
        <v>2</v>
      </c>
      <c r="B84" t="s">
        <v>55</v>
      </c>
      <c r="C84">
        <v>191</v>
      </c>
      <c r="D84" t="s">
        <v>168</v>
      </c>
      <c r="E84">
        <v>330.19</v>
      </c>
      <c r="F84" t="s">
        <v>187</v>
      </c>
      <c r="G84" t="s">
        <v>190</v>
      </c>
      <c r="H84" t="str">
        <f>IFERROR(INDEX(Funcionarios!$C$3:$C$38,MATCH($C84,Funcionarios!$A$3:$A$38,0)),"")</f>
        <v>Auxiliar de Producao</v>
      </c>
      <c r="I84" t="str">
        <f>IFERROR(INDEX(Funcionarios!$H$3:$H$38,MATCH($C84,Funcionarios!$A$3:$A$38,0)),"")</f>
        <v>Producao ACME</v>
      </c>
    </row>
    <row r="85" spans="1:9" x14ac:dyDescent="0.3">
      <c r="A85">
        <v>7</v>
      </c>
      <c r="B85" t="s">
        <v>121</v>
      </c>
      <c r="C85">
        <v>140</v>
      </c>
      <c r="D85" t="s">
        <v>174</v>
      </c>
      <c r="E85">
        <v>368.59</v>
      </c>
      <c r="F85" t="s">
        <v>187</v>
      </c>
      <c r="G85" t="s">
        <v>190</v>
      </c>
      <c r="H85" t="str">
        <f>IFERROR(INDEX(Funcionarios!$C$3:$C$38,MATCH($C85,Funcionarios!$A$3:$A$38,0)),"")</f>
        <v>Assistente Administrativo</v>
      </c>
      <c r="I85" t="str">
        <f>IFERROR(INDEX(Funcionarios!$H$3:$H$38,MATCH($C85,Funcionarios!$A$3:$A$38,0)),"")</f>
        <v>DP/RH ACME</v>
      </c>
    </row>
    <row r="86" spans="1:9" x14ac:dyDescent="0.3">
      <c r="A86">
        <v>5</v>
      </c>
      <c r="B86" t="s">
        <v>73</v>
      </c>
      <c r="C86">
        <v>106</v>
      </c>
      <c r="D86" t="s">
        <v>177</v>
      </c>
      <c r="E86">
        <v>375.21</v>
      </c>
      <c r="F86" t="s">
        <v>187</v>
      </c>
      <c r="G86" t="s">
        <v>190</v>
      </c>
      <c r="H86" t="str">
        <f>IFERROR(INDEX(Funcionarios!$C$3:$C$38,MATCH($C86,Funcionarios!$A$3:$A$38,0)),"")</f>
        <v>Assistente Administrativo</v>
      </c>
      <c r="I86" t="str">
        <f>IFERROR(INDEX(Funcionarios!$H$3:$H$38,MATCH($C86,Funcionarios!$A$3:$A$38,0)),"")</f>
        <v>Fabrica ACME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0" customWidth="1"/>
    <col min="6" max="6" width="20" customWidth="1"/>
    <col min="7" max="7" width="12" customWidth="1"/>
    <col min="8" max="8" width="14" customWidth="1"/>
    <col min="9" max="9" width="8" customWidth="1"/>
    <col min="10" max="10" width="12" customWidth="1"/>
    <col min="11" max="11" width="8" customWidth="1"/>
    <col min="12" max="12" width="10" customWidth="1"/>
    <col min="13" max="13" width="22" customWidth="1"/>
    <col min="14" max="14" width="20" customWidth="1"/>
  </cols>
  <sheetData>
    <row r="1" spans="1:14" ht="15.6" customHeight="1" x14ac:dyDescent="0.3">
      <c r="A1" s="7" t="s">
        <v>191</v>
      </c>
    </row>
    <row r="2" spans="1:14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192</v>
      </c>
      <c r="F2" s="10" t="s">
        <v>193</v>
      </c>
      <c r="G2" s="10" t="s">
        <v>194</v>
      </c>
      <c r="H2" s="10" t="s">
        <v>195</v>
      </c>
      <c r="I2" s="10" t="s">
        <v>196</v>
      </c>
      <c r="J2" s="10" t="s">
        <v>197</v>
      </c>
      <c r="K2" s="10" t="s">
        <v>198</v>
      </c>
      <c r="L2" s="10" t="s">
        <v>184</v>
      </c>
      <c r="M2" s="10" t="s">
        <v>185</v>
      </c>
      <c r="N2" s="10" t="s">
        <v>186</v>
      </c>
    </row>
    <row r="3" spans="1:14" x14ac:dyDescent="0.3">
      <c r="A3">
        <v>6</v>
      </c>
      <c r="B3" t="s">
        <v>97</v>
      </c>
      <c r="C3">
        <v>166</v>
      </c>
      <c r="D3" t="s">
        <v>145</v>
      </c>
      <c r="E3">
        <v>150</v>
      </c>
      <c r="F3" t="s">
        <v>199</v>
      </c>
      <c r="G3" t="s">
        <v>200</v>
      </c>
      <c r="H3">
        <v>61.21</v>
      </c>
      <c r="I3">
        <v>3.82</v>
      </c>
      <c r="J3" t="s">
        <v>201</v>
      </c>
      <c r="K3" t="s">
        <v>196</v>
      </c>
      <c r="L3" t="s">
        <v>202</v>
      </c>
      <c r="M3" t="str">
        <f>IFERROR(INDEX(Funcionarios!$C$3:$C$38,MATCH($C3,Funcionarios!$A$3:$A$38,0)),"")</f>
        <v>Almoxarife</v>
      </c>
      <c r="N3" t="str">
        <f>IFERROR(INDEX(Funcionarios!$H$3:$H$38,MATCH($C3,Funcionarios!$A$3:$A$38,0)),"")</f>
        <v>Producao ACME</v>
      </c>
    </row>
    <row r="4" spans="1:14" x14ac:dyDescent="0.3">
      <c r="A4">
        <v>6</v>
      </c>
      <c r="B4" t="s">
        <v>97</v>
      </c>
      <c r="C4">
        <v>166</v>
      </c>
      <c r="D4" t="s">
        <v>145</v>
      </c>
      <c r="E4">
        <v>150</v>
      </c>
      <c r="F4" t="s">
        <v>199</v>
      </c>
      <c r="G4" t="s">
        <v>200</v>
      </c>
      <c r="H4">
        <v>199.32</v>
      </c>
      <c r="I4">
        <v>12.44</v>
      </c>
      <c r="J4" t="s">
        <v>201</v>
      </c>
      <c r="K4" t="s">
        <v>196</v>
      </c>
      <c r="L4" t="s">
        <v>190</v>
      </c>
      <c r="M4" t="str">
        <f>IFERROR(INDEX(Funcionarios!$C$3:$C$38,MATCH($C4,Funcionarios!$A$3:$A$38,0)),"")</f>
        <v>Almoxarife</v>
      </c>
      <c r="N4" t="str">
        <f>IFERROR(INDEX(Funcionarios!$H$3:$H$38,MATCH($C4,Funcionarios!$A$3:$A$38,0)),"")</f>
        <v>Producao ACME</v>
      </c>
    </row>
    <row r="5" spans="1:14" x14ac:dyDescent="0.3">
      <c r="A5">
        <v>5</v>
      </c>
      <c r="B5" t="s">
        <v>73</v>
      </c>
      <c r="C5">
        <v>106</v>
      </c>
      <c r="D5" t="s">
        <v>177</v>
      </c>
      <c r="E5">
        <v>150</v>
      </c>
      <c r="F5" t="s">
        <v>199</v>
      </c>
      <c r="G5" t="s">
        <v>200</v>
      </c>
      <c r="H5">
        <v>340.73</v>
      </c>
      <c r="I5">
        <v>19.87</v>
      </c>
      <c r="J5" t="s">
        <v>201</v>
      </c>
      <c r="K5" t="s">
        <v>196</v>
      </c>
      <c r="L5" t="s">
        <v>190</v>
      </c>
      <c r="M5" t="str">
        <f>IFERROR(INDEX(Funcionarios!$C$3:$C$38,MATCH($C5,Funcionarios!$A$3:$A$38,0)),"")</f>
        <v>Assistente Administrativo</v>
      </c>
      <c r="N5" t="str">
        <f>IFERROR(INDEX(Funcionarios!$H$3:$H$38,MATCH($C5,Funcionarios!$A$3:$A$38,0)),"")</f>
        <v>Fabrica ACME</v>
      </c>
    </row>
    <row r="6" spans="1:14" x14ac:dyDescent="0.3">
      <c r="A6">
        <v>4</v>
      </c>
      <c r="B6" t="s">
        <v>67</v>
      </c>
      <c r="C6">
        <v>145</v>
      </c>
      <c r="D6" t="s">
        <v>171</v>
      </c>
      <c r="E6">
        <v>150</v>
      </c>
      <c r="F6" t="s">
        <v>199</v>
      </c>
      <c r="G6" t="s">
        <v>200</v>
      </c>
      <c r="H6">
        <v>189.06</v>
      </c>
      <c r="I6">
        <v>15.07</v>
      </c>
      <c r="J6" t="s">
        <v>201</v>
      </c>
      <c r="K6" t="s">
        <v>196</v>
      </c>
      <c r="L6" t="s">
        <v>190</v>
      </c>
      <c r="M6" t="str">
        <f>IFERROR(INDEX(Funcionarios!$C$3:$C$38,MATCH($C6,Funcionarios!$A$3:$A$38,0)),"")</f>
        <v>Auxiliar de Producao</v>
      </c>
      <c r="N6" t="str">
        <f>IFERROR(INDEX(Funcionarios!$H$3:$H$38,MATCH($C6,Funcionarios!$A$3:$A$38,0)),"")</f>
        <v>Operacional ACME</v>
      </c>
    </row>
    <row r="7" spans="1:14" x14ac:dyDescent="0.3">
      <c r="A7">
        <v>5</v>
      </c>
      <c r="B7" t="s">
        <v>73</v>
      </c>
      <c r="C7">
        <v>255</v>
      </c>
      <c r="D7" t="s">
        <v>78</v>
      </c>
      <c r="E7">
        <v>150</v>
      </c>
      <c r="F7" t="s">
        <v>203</v>
      </c>
      <c r="G7" t="s">
        <v>200</v>
      </c>
      <c r="H7">
        <v>129.59</v>
      </c>
      <c r="I7">
        <v>4.07</v>
      </c>
      <c r="J7" t="s">
        <v>201</v>
      </c>
      <c r="K7" t="s">
        <v>196</v>
      </c>
      <c r="L7" t="s">
        <v>202</v>
      </c>
      <c r="M7" t="str">
        <f>IFERROR(INDEX(Funcionarios!$C$3:$C$38,MATCH($C7,Funcionarios!$A$3:$A$38,0)),"")</f>
        <v>Supervisor de Producao</v>
      </c>
      <c r="N7" t="str">
        <f>IFERROR(INDEX(Funcionarios!$H$3:$H$38,MATCH($C7,Funcionarios!$A$3:$A$38,0)),"")</f>
        <v>Fabrica ACME</v>
      </c>
    </row>
    <row r="8" spans="1:14" x14ac:dyDescent="0.3">
      <c r="A8">
        <v>4</v>
      </c>
      <c r="B8" t="s">
        <v>67</v>
      </c>
      <c r="C8">
        <v>235</v>
      </c>
      <c r="D8" t="s">
        <v>110</v>
      </c>
      <c r="E8">
        <v>150</v>
      </c>
      <c r="F8" t="s">
        <v>204</v>
      </c>
      <c r="G8" t="s">
        <v>200</v>
      </c>
      <c r="H8">
        <v>93.37</v>
      </c>
      <c r="I8">
        <v>7.87</v>
      </c>
      <c r="J8" t="s">
        <v>201</v>
      </c>
      <c r="K8" t="s">
        <v>196</v>
      </c>
      <c r="L8" t="s">
        <v>202</v>
      </c>
      <c r="M8" t="str">
        <f>IFERROR(INDEX(Funcionarios!$C$3:$C$38,MATCH($C8,Funcionarios!$A$3:$A$38,0)),"")</f>
        <v>Auxiliar de Producao</v>
      </c>
      <c r="N8" t="str">
        <f>IFERROR(INDEX(Funcionarios!$H$3:$H$38,MATCH($C8,Funcionarios!$A$3:$A$38,0)),"")</f>
        <v>Operacional ACME</v>
      </c>
    </row>
    <row r="9" spans="1:14" x14ac:dyDescent="0.3">
      <c r="A9">
        <v>4</v>
      </c>
      <c r="B9" t="s">
        <v>67</v>
      </c>
      <c r="C9">
        <v>235</v>
      </c>
      <c r="D9" t="s">
        <v>110</v>
      </c>
      <c r="E9">
        <v>150</v>
      </c>
      <c r="F9" t="s">
        <v>204</v>
      </c>
      <c r="G9" t="s">
        <v>200</v>
      </c>
      <c r="H9">
        <v>17.91</v>
      </c>
      <c r="I9">
        <v>1.51</v>
      </c>
      <c r="J9" t="s">
        <v>201</v>
      </c>
      <c r="K9" t="s">
        <v>196</v>
      </c>
      <c r="L9" t="s">
        <v>190</v>
      </c>
      <c r="M9" t="str">
        <f>IFERROR(INDEX(Funcionarios!$C$3:$C$38,MATCH($C9,Funcionarios!$A$3:$A$38,0)),"")</f>
        <v>Auxiliar de Producao</v>
      </c>
      <c r="N9" t="str">
        <f>IFERROR(INDEX(Funcionarios!$H$3:$H$38,MATCH($C9,Funcionarios!$A$3:$A$38,0)),"")</f>
        <v>Operacional ACME</v>
      </c>
    </row>
    <row r="10" spans="1:14" x14ac:dyDescent="0.3">
      <c r="A10">
        <v>1</v>
      </c>
      <c r="B10" t="s">
        <v>48</v>
      </c>
      <c r="C10">
        <v>208</v>
      </c>
      <c r="D10" t="s">
        <v>127</v>
      </c>
      <c r="E10">
        <v>150</v>
      </c>
      <c r="F10" t="s">
        <v>199</v>
      </c>
      <c r="G10" t="s">
        <v>200</v>
      </c>
      <c r="H10">
        <v>34.71</v>
      </c>
      <c r="I10">
        <v>2.73</v>
      </c>
      <c r="J10" t="s">
        <v>201</v>
      </c>
      <c r="K10" t="s">
        <v>196</v>
      </c>
      <c r="L10" t="s">
        <v>190</v>
      </c>
      <c r="M10" t="str">
        <f>IFERROR(INDEX(Funcionarios!$C$3:$C$38,MATCH($C10,Funcionarios!$A$3:$A$38,0)),"")</f>
        <v>Auxiliar de Almoxarifado</v>
      </c>
      <c r="N10" t="str">
        <f>IFERROR(INDEX(Funcionarios!$H$3:$H$38,MATCH($C10,Funcionarios!$A$3:$A$38,0)),"")</f>
        <v>Fabrica ACME</v>
      </c>
    </row>
    <row r="11" spans="1:14" x14ac:dyDescent="0.3">
      <c r="A11">
        <v>2</v>
      </c>
      <c r="B11" t="s">
        <v>55</v>
      </c>
      <c r="C11">
        <v>228</v>
      </c>
      <c r="D11" t="s">
        <v>99</v>
      </c>
      <c r="E11">
        <v>150</v>
      </c>
      <c r="F11" t="s">
        <v>199</v>
      </c>
      <c r="G11" t="s">
        <v>200</v>
      </c>
      <c r="H11">
        <v>268.3</v>
      </c>
      <c r="I11">
        <v>18.260000000000002</v>
      </c>
      <c r="J11" t="s">
        <v>201</v>
      </c>
      <c r="K11" t="s">
        <v>196</v>
      </c>
      <c r="L11" t="s">
        <v>202</v>
      </c>
      <c r="M11" t="str">
        <f>IFERROR(INDEX(Funcionarios!$C$3:$C$38,MATCH($C11,Funcionarios!$A$3:$A$38,0)),"")</f>
        <v>Soldador</v>
      </c>
      <c r="N11" t="str">
        <f>IFERROR(INDEX(Funcionarios!$H$3:$H$38,MATCH($C11,Funcionarios!$A$3:$A$38,0)),"")</f>
        <v>Producao ACME</v>
      </c>
    </row>
    <row r="12" spans="1:14" x14ac:dyDescent="0.3">
      <c r="A12">
        <v>2</v>
      </c>
      <c r="B12" t="s">
        <v>55</v>
      </c>
      <c r="C12">
        <v>228</v>
      </c>
      <c r="D12" t="s">
        <v>99</v>
      </c>
      <c r="E12">
        <v>150</v>
      </c>
      <c r="F12" t="s">
        <v>204</v>
      </c>
      <c r="G12" t="s">
        <v>200</v>
      </c>
      <c r="H12">
        <v>163.38999999999999</v>
      </c>
      <c r="I12">
        <v>11.12</v>
      </c>
      <c r="J12" t="s">
        <v>201</v>
      </c>
      <c r="K12" t="s">
        <v>196</v>
      </c>
      <c r="L12" t="s">
        <v>190</v>
      </c>
      <c r="M12" t="str">
        <f>IFERROR(INDEX(Funcionarios!$C$3:$C$38,MATCH($C12,Funcionarios!$A$3:$A$38,0)),"")</f>
        <v>Soldador</v>
      </c>
      <c r="N12" t="str">
        <f>IFERROR(INDEX(Funcionarios!$H$3:$H$38,MATCH($C12,Funcionarios!$A$3:$A$38,0)),"")</f>
        <v>Producao ACME</v>
      </c>
    </row>
    <row r="13" spans="1:14" x14ac:dyDescent="0.3">
      <c r="A13">
        <v>9</v>
      </c>
      <c r="B13" t="s">
        <v>165</v>
      </c>
      <c r="C13">
        <v>239</v>
      </c>
      <c r="D13" t="s">
        <v>163</v>
      </c>
      <c r="E13">
        <v>150</v>
      </c>
      <c r="F13" t="s">
        <v>203</v>
      </c>
      <c r="G13" t="s">
        <v>200</v>
      </c>
      <c r="H13">
        <v>307.74</v>
      </c>
      <c r="I13">
        <v>19.71</v>
      </c>
      <c r="J13" t="s">
        <v>201</v>
      </c>
      <c r="K13" t="s">
        <v>196</v>
      </c>
      <c r="L13" t="s">
        <v>202</v>
      </c>
      <c r="M13" t="str">
        <f>IFERROR(INDEX(Funcionarios!$C$3:$C$38,MATCH($C13,Funcionarios!$A$3:$A$38,0)),"")</f>
        <v>Assistente Administrativo</v>
      </c>
      <c r="N13" t="str">
        <f>IFERROR(INDEX(Funcionarios!$H$3:$H$38,MATCH($C13,Funcionarios!$A$3:$A$38,0)),"")</f>
        <v>Escritorio ACME</v>
      </c>
    </row>
    <row r="14" spans="1:14" x14ac:dyDescent="0.3">
      <c r="A14">
        <v>9</v>
      </c>
      <c r="B14" t="s">
        <v>165</v>
      </c>
      <c r="C14">
        <v>239</v>
      </c>
      <c r="D14" t="s">
        <v>163</v>
      </c>
      <c r="E14">
        <v>150</v>
      </c>
      <c r="F14" t="s">
        <v>204</v>
      </c>
      <c r="G14" t="s">
        <v>200</v>
      </c>
      <c r="H14">
        <v>258.41000000000003</v>
      </c>
      <c r="I14">
        <v>16.55</v>
      </c>
      <c r="J14" t="s">
        <v>201</v>
      </c>
      <c r="K14" t="s">
        <v>196</v>
      </c>
      <c r="L14" t="s">
        <v>190</v>
      </c>
      <c r="M14" t="str">
        <f>IFERROR(INDEX(Funcionarios!$C$3:$C$38,MATCH($C14,Funcionarios!$A$3:$A$38,0)),"")</f>
        <v>Assistente Administrativo</v>
      </c>
      <c r="N14" t="str">
        <f>IFERROR(INDEX(Funcionarios!$H$3:$H$38,MATCH($C14,Funcionarios!$A$3:$A$38,0)),"")</f>
        <v>Escritorio ACME</v>
      </c>
    </row>
    <row r="15" spans="1:14" x14ac:dyDescent="0.3">
      <c r="A15">
        <v>3</v>
      </c>
      <c r="B15" t="s">
        <v>61</v>
      </c>
      <c r="C15">
        <v>294</v>
      </c>
      <c r="D15" t="s">
        <v>58</v>
      </c>
      <c r="E15">
        <v>150</v>
      </c>
      <c r="F15" t="s">
        <v>199</v>
      </c>
      <c r="G15" t="s">
        <v>200</v>
      </c>
      <c r="H15">
        <v>61.53</v>
      </c>
      <c r="I15">
        <v>4.8</v>
      </c>
      <c r="J15" t="s">
        <v>201</v>
      </c>
      <c r="K15" t="s">
        <v>196</v>
      </c>
      <c r="L15" t="s">
        <v>202</v>
      </c>
      <c r="M15" t="str">
        <f>IFERROR(INDEX(Funcionarios!$C$3:$C$38,MATCH($C15,Funcionarios!$A$3:$A$38,0)),"")</f>
        <v>Operador de Maquinas</v>
      </c>
      <c r="N15" t="str">
        <f>IFERROR(INDEX(Funcionarios!$H$3:$H$38,MATCH($C15,Funcionarios!$A$3:$A$38,0)),"")</f>
        <v>Operacional ACME</v>
      </c>
    </row>
    <row r="16" spans="1:14" x14ac:dyDescent="0.3">
      <c r="A16">
        <v>3</v>
      </c>
      <c r="B16" t="s">
        <v>61</v>
      </c>
      <c r="C16">
        <v>171</v>
      </c>
      <c r="D16" t="s">
        <v>75</v>
      </c>
      <c r="E16">
        <v>150</v>
      </c>
      <c r="F16" t="s">
        <v>199</v>
      </c>
      <c r="G16" t="s">
        <v>200</v>
      </c>
      <c r="H16">
        <v>308.45999999999998</v>
      </c>
      <c r="I16">
        <v>19.170000000000002</v>
      </c>
      <c r="J16" t="s">
        <v>201</v>
      </c>
      <c r="K16" t="s">
        <v>196</v>
      </c>
      <c r="L16" t="s">
        <v>202</v>
      </c>
      <c r="M16" t="str">
        <f>IFERROR(INDEX(Funcionarios!$C$3:$C$38,MATCH($C16,Funcionarios!$A$3:$A$38,0)),"")</f>
        <v>Operador de Maquinas</v>
      </c>
      <c r="N16" t="str">
        <f>IFERROR(INDEX(Funcionarios!$H$3:$H$38,MATCH($C16,Funcionarios!$A$3:$A$38,0)),"")</f>
        <v>Operacional ACME</v>
      </c>
    </row>
    <row r="17" spans="1:14" x14ac:dyDescent="0.3">
      <c r="A17">
        <v>3</v>
      </c>
      <c r="B17" t="s">
        <v>61</v>
      </c>
      <c r="C17">
        <v>171</v>
      </c>
      <c r="D17" t="s">
        <v>75</v>
      </c>
      <c r="E17">
        <v>150</v>
      </c>
      <c r="F17" t="s">
        <v>199</v>
      </c>
      <c r="G17" t="s">
        <v>200</v>
      </c>
      <c r="H17">
        <v>237.18</v>
      </c>
      <c r="I17">
        <v>14.74</v>
      </c>
      <c r="J17" t="s">
        <v>201</v>
      </c>
      <c r="K17" t="s">
        <v>196</v>
      </c>
      <c r="L17" t="s">
        <v>190</v>
      </c>
      <c r="M17" t="str">
        <f>IFERROR(INDEX(Funcionarios!$C$3:$C$38,MATCH($C17,Funcionarios!$A$3:$A$38,0)),"")</f>
        <v>Operador de Maquinas</v>
      </c>
      <c r="N17" t="str">
        <f>IFERROR(INDEX(Funcionarios!$H$3:$H$38,MATCH($C17,Funcionarios!$A$3:$A$38,0)),"")</f>
        <v>Operacional ACME</v>
      </c>
    </row>
    <row r="18" spans="1:14" x14ac:dyDescent="0.3">
      <c r="A18">
        <v>4</v>
      </c>
      <c r="B18" t="s">
        <v>67</v>
      </c>
      <c r="C18">
        <v>188</v>
      </c>
      <c r="D18" t="s">
        <v>64</v>
      </c>
      <c r="E18">
        <v>150</v>
      </c>
      <c r="F18" t="s">
        <v>203</v>
      </c>
      <c r="G18" t="s">
        <v>200</v>
      </c>
      <c r="H18">
        <v>86.51</v>
      </c>
      <c r="I18">
        <v>7.93</v>
      </c>
      <c r="J18" t="s">
        <v>201</v>
      </c>
      <c r="K18" t="s">
        <v>196</v>
      </c>
      <c r="L18" t="s">
        <v>202</v>
      </c>
      <c r="M18" t="str">
        <f>IFERROR(INDEX(Funcionarios!$C$3:$C$38,MATCH($C18,Funcionarios!$A$3:$A$38,0)),"")</f>
        <v>Servente de Obras</v>
      </c>
      <c r="N18" t="str">
        <f>IFERROR(INDEX(Funcionarios!$H$3:$H$38,MATCH($C18,Funcionarios!$A$3:$A$38,0)),"")</f>
        <v>Operacional ACME</v>
      </c>
    </row>
    <row r="19" spans="1:14" x14ac:dyDescent="0.3">
      <c r="A19">
        <v>1</v>
      </c>
      <c r="B19" t="s">
        <v>48</v>
      </c>
      <c r="C19">
        <v>272</v>
      </c>
      <c r="D19" t="s">
        <v>124</v>
      </c>
      <c r="E19">
        <v>150</v>
      </c>
      <c r="F19" t="s">
        <v>203</v>
      </c>
      <c r="G19" t="s">
        <v>200</v>
      </c>
      <c r="H19">
        <v>138.63</v>
      </c>
      <c r="I19">
        <v>12.59</v>
      </c>
      <c r="J19" t="s">
        <v>201</v>
      </c>
      <c r="K19" t="s">
        <v>196</v>
      </c>
      <c r="L19" t="s">
        <v>190</v>
      </c>
      <c r="M19" t="str">
        <f>IFERROR(INDEX(Funcionarios!$C$3:$C$38,MATCH($C19,Funcionarios!$A$3:$A$38,0)),"")</f>
        <v>Auxiliar Administrativo</v>
      </c>
      <c r="N19" t="str">
        <f>IFERROR(INDEX(Funcionarios!$H$3:$H$38,MATCH($C19,Funcionarios!$A$3:$A$38,0)),"")</f>
        <v>Fabrica ACME</v>
      </c>
    </row>
    <row r="20" spans="1:14" x14ac:dyDescent="0.3">
      <c r="A20">
        <v>2</v>
      </c>
      <c r="B20" t="s">
        <v>55</v>
      </c>
      <c r="C20">
        <v>194</v>
      </c>
      <c r="D20" t="s">
        <v>151</v>
      </c>
      <c r="E20">
        <v>150</v>
      </c>
      <c r="F20" t="s">
        <v>203</v>
      </c>
      <c r="G20" t="s">
        <v>200</v>
      </c>
      <c r="H20">
        <v>257.75</v>
      </c>
      <c r="I20">
        <v>16.190000000000001</v>
      </c>
      <c r="J20" t="s">
        <v>201</v>
      </c>
      <c r="K20" t="s">
        <v>196</v>
      </c>
      <c r="L20" t="s">
        <v>190</v>
      </c>
      <c r="M20" t="str">
        <f>IFERROR(INDEX(Funcionarios!$C$3:$C$38,MATCH($C20,Funcionarios!$A$3:$A$38,0)),"")</f>
        <v>Operador de Maquinas</v>
      </c>
      <c r="N20" t="str">
        <f>IFERROR(INDEX(Funcionarios!$H$3:$H$38,MATCH($C20,Funcionarios!$A$3:$A$38,0)),"")</f>
        <v>Producao ACME</v>
      </c>
    </row>
    <row r="21" spans="1:14" x14ac:dyDescent="0.3">
      <c r="A21">
        <v>8</v>
      </c>
      <c r="B21" t="s">
        <v>133</v>
      </c>
      <c r="C21">
        <v>112</v>
      </c>
      <c r="D21" t="s">
        <v>131</v>
      </c>
      <c r="E21">
        <v>150</v>
      </c>
      <c r="F21" t="s">
        <v>199</v>
      </c>
      <c r="G21" t="s">
        <v>200</v>
      </c>
      <c r="H21">
        <v>64.069999999999993</v>
      </c>
      <c r="I21">
        <v>3.28</v>
      </c>
      <c r="J21" t="s">
        <v>201</v>
      </c>
      <c r="K21" t="s">
        <v>196</v>
      </c>
      <c r="L21" t="s">
        <v>202</v>
      </c>
      <c r="M21" t="str">
        <f>IFERROR(INDEX(Funcionarios!$C$3:$C$38,MATCH($C21,Funcionarios!$A$3:$A$38,0)),"")</f>
        <v>Soldador</v>
      </c>
      <c r="N21" t="str">
        <f>IFERROR(INDEX(Funcionarios!$H$3:$H$38,MATCH($C21,Funcionarios!$A$3:$A$38,0)),"")</f>
        <v>Producao ACME</v>
      </c>
    </row>
    <row r="22" spans="1:14" x14ac:dyDescent="0.3">
      <c r="A22">
        <v>8</v>
      </c>
      <c r="B22" t="s">
        <v>133</v>
      </c>
      <c r="C22">
        <v>112</v>
      </c>
      <c r="D22" t="s">
        <v>131</v>
      </c>
      <c r="E22">
        <v>150</v>
      </c>
      <c r="F22" t="s">
        <v>199</v>
      </c>
      <c r="G22" t="s">
        <v>200</v>
      </c>
      <c r="H22">
        <v>297.89</v>
      </c>
      <c r="I22">
        <v>15.25</v>
      </c>
      <c r="J22" t="s">
        <v>201</v>
      </c>
      <c r="K22" t="s">
        <v>196</v>
      </c>
      <c r="L22" t="s">
        <v>190</v>
      </c>
      <c r="M22" t="str">
        <f>IFERROR(INDEX(Funcionarios!$C$3:$C$38,MATCH($C22,Funcionarios!$A$3:$A$38,0)),"")</f>
        <v>Soldador</v>
      </c>
      <c r="N22" t="str">
        <f>IFERROR(INDEX(Funcionarios!$H$3:$H$38,MATCH($C22,Funcionarios!$A$3:$A$38,0)),"")</f>
        <v>Producao ACME</v>
      </c>
    </row>
    <row r="23" spans="1:14" x14ac:dyDescent="0.3">
      <c r="A23">
        <v>1</v>
      </c>
      <c r="B23" t="s">
        <v>48</v>
      </c>
      <c r="C23">
        <v>263</v>
      </c>
      <c r="D23" t="s">
        <v>45</v>
      </c>
      <c r="E23">
        <v>150</v>
      </c>
      <c r="F23" t="s">
        <v>204</v>
      </c>
      <c r="G23" t="s">
        <v>200</v>
      </c>
      <c r="H23">
        <v>155.61000000000001</v>
      </c>
      <c r="I23">
        <v>9.24</v>
      </c>
      <c r="J23" t="s">
        <v>201</v>
      </c>
      <c r="K23" t="s">
        <v>196</v>
      </c>
      <c r="L23" t="s">
        <v>202</v>
      </c>
      <c r="M23" t="str">
        <f>IFERROR(INDEX(Funcionarios!$C$3:$C$38,MATCH($C23,Funcionarios!$A$3:$A$38,0)),"")</f>
        <v>Assistente Administrativo</v>
      </c>
      <c r="N23" t="str">
        <f>IFERROR(INDEX(Funcionarios!$H$3:$H$38,MATCH($C23,Funcionarios!$A$3:$A$38,0)),"")</f>
        <v>Fabrica ACME</v>
      </c>
    </row>
    <row r="24" spans="1:14" x14ac:dyDescent="0.3">
      <c r="A24">
        <v>5</v>
      </c>
      <c r="B24" t="s">
        <v>73</v>
      </c>
      <c r="C24">
        <v>247</v>
      </c>
      <c r="D24" t="s">
        <v>70</v>
      </c>
      <c r="E24">
        <v>150</v>
      </c>
      <c r="F24" t="s">
        <v>199</v>
      </c>
      <c r="G24" t="s">
        <v>200</v>
      </c>
      <c r="H24">
        <v>1202.76</v>
      </c>
      <c r="I24">
        <v>19.46</v>
      </c>
      <c r="J24" t="s">
        <v>201</v>
      </c>
      <c r="K24" t="s">
        <v>196</v>
      </c>
      <c r="L24" t="s">
        <v>202</v>
      </c>
      <c r="M24" t="str">
        <f>IFERROR(INDEX(Funcionarios!$C$3:$C$38,MATCH($C24,Funcionarios!$A$3:$A$38,0)),"")</f>
        <v>Gerente Administrativo</v>
      </c>
      <c r="N24" t="str">
        <f>IFERROR(INDEX(Funcionarios!$H$3:$H$38,MATCH($C24,Funcionarios!$A$3:$A$38,0)),"")</f>
        <v>Fabrica ACME</v>
      </c>
    </row>
    <row r="25" spans="1:14" x14ac:dyDescent="0.3">
      <c r="A25">
        <v>3</v>
      </c>
      <c r="B25" t="s">
        <v>61</v>
      </c>
      <c r="C25">
        <v>154</v>
      </c>
      <c r="D25" t="s">
        <v>86</v>
      </c>
      <c r="E25">
        <v>150</v>
      </c>
      <c r="F25" t="s">
        <v>203</v>
      </c>
      <c r="G25" t="s">
        <v>200</v>
      </c>
      <c r="H25">
        <v>42.71</v>
      </c>
      <c r="I25">
        <v>2.61</v>
      </c>
      <c r="J25" t="s">
        <v>201</v>
      </c>
      <c r="K25" t="s">
        <v>196</v>
      </c>
      <c r="L25" t="s">
        <v>202</v>
      </c>
      <c r="M25" t="str">
        <f>IFERROR(INDEX(Funcionarios!$C$3:$C$38,MATCH($C25,Funcionarios!$A$3:$A$38,0)),"")</f>
        <v>Operador de Maquinas</v>
      </c>
      <c r="N25" t="str">
        <f>IFERROR(INDEX(Funcionarios!$H$3:$H$38,MATCH($C25,Funcionarios!$A$3:$A$38,0)),"")</f>
        <v>Operacional ACME</v>
      </c>
    </row>
    <row r="26" spans="1:14" x14ac:dyDescent="0.3">
      <c r="A26">
        <v>2</v>
      </c>
      <c r="B26" t="s">
        <v>55</v>
      </c>
      <c r="C26">
        <v>197</v>
      </c>
      <c r="D26" t="s">
        <v>135</v>
      </c>
      <c r="E26">
        <v>150</v>
      </c>
      <c r="F26" t="s">
        <v>203</v>
      </c>
      <c r="G26" t="s">
        <v>200</v>
      </c>
      <c r="H26">
        <v>169.13</v>
      </c>
      <c r="I26">
        <v>16.32</v>
      </c>
      <c r="J26" t="s">
        <v>201</v>
      </c>
      <c r="K26" t="s">
        <v>196</v>
      </c>
      <c r="L26" t="s">
        <v>202</v>
      </c>
      <c r="M26" t="str">
        <f>IFERROR(INDEX(Funcionarios!$C$3:$C$38,MATCH($C26,Funcionarios!$A$3:$A$38,0)),"")</f>
        <v>Auxiliar de Producao</v>
      </c>
      <c r="N26" t="str">
        <f>IFERROR(INDEX(Funcionarios!$H$3:$H$38,MATCH($C26,Funcionarios!$A$3:$A$38,0)),"")</f>
        <v>Producao ACME</v>
      </c>
    </row>
    <row r="27" spans="1:14" x14ac:dyDescent="0.3">
      <c r="A27">
        <v>2</v>
      </c>
      <c r="B27" t="s">
        <v>55</v>
      </c>
      <c r="C27">
        <v>197</v>
      </c>
      <c r="D27" t="s">
        <v>135</v>
      </c>
      <c r="E27">
        <v>150</v>
      </c>
      <c r="F27" t="s">
        <v>199</v>
      </c>
      <c r="G27" t="s">
        <v>200</v>
      </c>
      <c r="H27">
        <v>127.68</v>
      </c>
      <c r="I27">
        <v>12.32</v>
      </c>
      <c r="J27" t="s">
        <v>201</v>
      </c>
      <c r="K27" t="s">
        <v>196</v>
      </c>
      <c r="L27" t="s">
        <v>190</v>
      </c>
      <c r="M27" t="str">
        <f>IFERROR(INDEX(Funcionarios!$C$3:$C$38,MATCH($C27,Funcionarios!$A$3:$A$38,0)),"")</f>
        <v>Auxiliar de Producao</v>
      </c>
      <c r="N27" t="str">
        <f>IFERROR(INDEX(Funcionarios!$H$3:$H$38,MATCH($C27,Funcionarios!$A$3:$A$38,0)),"")</f>
        <v>Producao ACME</v>
      </c>
    </row>
    <row r="28" spans="1:14" x14ac:dyDescent="0.3">
      <c r="A28">
        <v>1</v>
      </c>
      <c r="B28" t="s">
        <v>48</v>
      </c>
      <c r="C28">
        <v>192</v>
      </c>
      <c r="D28" t="s">
        <v>89</v>
      </c>
      <c r="E28">
        <v>150</v>
      </c>
      <c r="F28" t="s">
        <v>204</v>
      </c>
      <c r="G28" t="s">
        <v>200</v>
      </c>
      <c r="H28">
        <v>97.93</v>
      </c>
      <c r="I28">
        <v>7.66</v>
      </c>
      <c r="J28" t="s">
        <v>201</v>
      </c>
      <c r="K28" t="s">
        <v>196</v>
      </c>
      <c r="L28" t="s">
        <v>202</v>
      </c>
      <c r="M28" t="str">
        <f>IFERROR(INDEX(Funcionarios!$C$3:$C$38,MATCH($C28,Funcionarios!$A$3:$A$38,0)),"")</f>
        <v>Auxiliar Administrativo</v>
      </c>
      <c r="N28" t="str">
        <f>IFERROR(INDEX(Funcionarios!$H$3:$H$38,MATCH($C28,Funcionarios!$A$3:$A$38,0)),"")</f>
        <v>Fabrica ACME</v>
      </c>
    </row>
    <row r="29" spans="1:14" x14ac:dyDescent="0.3">
      <c r="A29">
        <v>1</v>
      </c>
      <c r="B29" t="s">
        <v>48</v>
      </c>
      <c r="C29">
        <v>192</v>
      </c>
      <c r="D29" t="s">
        <v>89</v>
      </c>
      <c r="E29">
        <v>150</v>
      </c>
      <c r="F29" t="s">
        <v>204</v>
      </c>
      <c r="G29" t="s">
        <v>200</v>
      </c>
      <c r="H29">
        <v>18.03</v>
      </c>
      <c r="I29">
        <v>1.41</v>
      </c>
      <c r="J29" t="s">
        <v>201</v>
      </c>
      <c r="K29" t="s">
        <v>196</v>
      </c>
      <c r="L29" t="s">
        <v>190</v>
      </c>
      <c r="M29" t="str">
        <f>IFERROR(INDEX(Funcionarios!$C$3:$C$38,MATCH($C29,Funcionarios!$A$3:$A$38,0)),"")</f>
        <v>Auxiliar Administrativo</v>
      </c>
      <c r="N29" t="str">
        <f>IFERROR(INDEX(Funcionarios!$H$3:$H$38,MATCH($C29,Funcionarios!$A$3:$A$38,0)),"")</f>
        <v>Fabrica ACME</v>
      </c>
    </row>
    <row r="30" spans="1:14" x14ac:dyDescent="0.3">
      <c r="A30">
        <v>3</v>
      </c>
      <c r="B30" t="s">
        <v>61</v>
      </c>
      <c r="C30">
        <v>130</v>
      </c>
      <c r="D30" t="s">
        <v>113</v>
      </c>
      <c r="E30">
        <v>150</v>
      </c>
      <c r="F30" t="s">
        <v>203</v>
      </c>
      <c r="G30" t="s">
        <v>200</v>
      </c>
      <c r="H30">
        <v>106.6</v>
      </c>
      <c r="I30">
        <v>11.01</v>
      </c>
      <c r="J30" t="s">
        <v>201</v>
      </c>
      <c r="K30" t="s">
        <v>196</v>
      </c>
      <c r="L30" t="s">
        <v>202</v>
      </c>
      <c r="M30" t="str">
        <f>IFERROR(INDEX(Funcionarios!$C$3:$C$38,MATCH($C30,Funcionarios!$A$3:$A$38,0)),"")</f>
        <v>Servente de Obras</v>
      </c>
      <c r="N30" t="str">
        <f>IFERROR(INDEX(Funcionarios!$H$3:$H$38,MATCH($C30,Funcionarios!$A$3:$A$38,0)),"")</f>
        <v>Operacional ACME</v>
      </c>
    </row>
    <row r="31" spans="1:14" x14ac:dyDescent="0.3">
      <c r="A31">
        <v>5</v>
      </c>
      <c r="B31" t="s">
        <v>73</v>
      </c>
      <c r="C31">
        <v>253</v>
      </c>
      <c r="D31" t="s">
        <v>103</v>
      </c>
      <c r="E31">
        <v>150</v>
      </c>
      <c r="F31" t="s">
        <v>203</v>
      </c>
      <c r="G31" t="s">
        <v>200</v>
      </c>
      <c r="H31">
        <v>760.04</v>
      </c>
      <c r="I31">
        <v>16.7</v>
      </c>
      <c r="J31" t="s">
        <v>201</v>
      </c>
      <c r="K31" t="s">
        <v>196</v>
      </c>
      <c r="L31" t="s">
        <v>202</v>
      </c>
      <c r="M31" t="str">
        <f>IFERROR(INDEX(Funcionarios!$C$3:$C$38,MATCH($C31,Funcionarios!$A$3:$A$38,0)),"")</f>
        <v>Gerente Administrativo</v>
      </c>
      <c r="N31" t="str">
        <f>IFERROR(INDEX(Funcionarios!$H$3:$H$38,MATCH($C31,Funcionarios!$A$3:$A$38,0)),"")</f>
        <v>Fabrica ACME</v>
      </c>
    </row>
    <row r="32" spans="1:14" x14ac:dyDescent="0.3">
      <c r="A32">
        <v>5</v>
      </c>
      <c r="B32" t="s">
        <v>73</v>
      </c>
      <c r="C32">
        <v>158</v>
      </c>
      <c r="D32" t="s">
        <v>116</v>
      </c>
      <c r="E32">
        <v>150</v>
      </c>
      <c r="F32" t="s">
        <v>199</v>
      </c>
      <c r="G32" t="s">
        <v>200</v>
      </c>
      <c r="H32">
        <v>457.37</v>
      </c>
      <c r="I32">
        <v>15.51</v>
      </c>
      <c r="J32" t="s">
        <v>201</v>
      </c>
      <c r="K32" t="s">
        <v>196</v>
      </c>
      <c r="L32" t="s">
        <v>190</v>
      </c>
      <c r="M32" t="str">
        <f>IFERROR(INDEX(Funcionarios!$C$3:$C$38,MATCH($C32,Funcionarios!$A$3:$A$38,0)),"")</f>
        <v>Supervisor de Producao</v>
      </c>
      <c r="N32" t="str">
        <f>IFERROR(INDEX(Funcionarios!$H$3:$H$38,MATCH($C32,Funcionarios!$A$3:$A$38,0)),"")</f>
        <v>Fabrica ACME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/>
  </sheetViews>
  <sheetFormatPr defaultRowHeight="14.4" x14ac:dyDescent="0.3"/>
  <cols>
    <col min="1" max="1" width="3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6" customWidth="1"/>
    <col min="8" max="8" width="22" customWidth="1"/>
    <col min="9" max="9" width="20" customWidth="1"/>
  </cols>
  <sheetData>
    <row r="1" spans="1:9" ht="15.6" customHeight="1" x14ac:dyDescent="0.3">
      <c r="A1" s="7" t="s">
        <v>205</v>
      </c>
    </row>
    <row r="2" spans="1:9" x14ac:dyDescent="0.3">
      <c r="A2" s="10" t="s">
        <v>206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185</v>
      </c>
    </row>
    <row r="3" spans="1:9" x14ac:dyDescent="0.3">
      <c r="A3" t="s">
        <v>45</v>
      </c>
      <c r="B3">
        <v>220</v>
      </c>
      <c r="C3">
        <v>214.97</v>
      </c>
      <c r="D3">
        <v>5.03</v>
      </c>
      <c r="E3">
        <v>2.29E-2</v>
      </c>
      <c r="F3" t="s">
        <v>214</v>
      </c>
      <c r="G3">
        <f>IFERROR(INDEX(Funcionarios!$A$3:$A$38,MATCH($A3,Funcionarios!$B$3:$B$38,0)),"")</f>
        <v>263</v>
      </c>
      <c r="H3" t="str">
        <f>IFERROR(INDEX(Funcionarios!$G$3:$G$38,MATCH($A3,Funcionarios!$B$3:$B$38,0)),"")</f>
        <v>Administracao - Fabrica</v>
      </c>
      <c r="I3" t="str">
        <f>IFERROR(INDEX(Funcionarios!$C$3:$C$38,MATCH($A3,Funcionarios!$B$3:$B$38,0)),"")</f>
        <v>Assistente Administrativo</v>
      </c>
    </row>
    <row r="4" spans="1:9" x14ac:dyDescent="0.3">
      <c r="A4" t="s">
        <v>52</v>
      </c>
      <c r="B4">
        <v>220</v>
      </c>
      <c r="C4">
        <v>209.08</v>
      </c>
      <c r="D4">
        <v>10.92</v>
      </c>
      <c r="E4">
        <v>4.9599999999999998E-2</v>
      </c>
      <c r="F4" t="s">
        <v>214</v>
      </c>
      <c r="G4">
        <f>IFERROR(INDEX(Funcionarios!$A$3:$A$38,MATCH($A4,Funcionarios!$B$3:$B$38,0)),"")</f>
        <v>155</v>
      </c>
      <c r="H4" t="str">
        <f>IFERROR(INDEX(Funcionarios!$G$3:$G$38,MATCH($A4,Funcionarios!$B$3:$B$38,0)),"")</f>
        <v>Pre-Moldados</v>
      </c>
      <c r="I4" t="str">
        <f>IFERROR(INDEX(Funcionarios!$C$3:$C$38,MATCH($A4,Funcionarios!$B$3:$B$38,0)),"")</f>
        <v>Auxiliar de Producao</v>
      </c>
    </row>
    <row r="5" spans="1:9" x14ac:dyDescent="0.3">
      <c r="A5" t="s">
        <v>58</v>
      </c>
      <c r="B5">
        <v>220</v>
      </c>
      <c r="C5">
        <v>220</v>
      </c>
      <c r="D5">
        <v>0</v>
      </c>
      <c r="E5">
        <v>0</v>
      </c>
      <c r="F5" t="s">
        <v>214</v>
      </c>
      <c r="G5">
        <f>IFERROR(INDEX(Funcionarios!$A$3:$A$38,MATCH($A5,Funcionarios!$B$3:$B$38,0)),"")</f>
        <v>294</v>
      </c>
      <c r="H5" t="str">
        <f>IFERROR(INDEX(Funcionarios!$G$3:$G$38,MATCH($A5,Funcionarios!$B$3:$B$38,0)),"")</f>
        <v>Operacional</v>
      </c>
      <c r="I5" t="str">
        <f>IFERROR(INDEX(Funcionarios!$C$3:$C$38,MATCH($A5,Funcionarios!$B$3:$B$38,0)),"")</f>
        <v>Operador de Maquinas</v>
      </c>
    </row>
    <row r="6" spans="1:9" x14ac:dyDescent="0.3">
      <c r="A6" t="s">
        <v>64</v>
      </c>
      <c r="B6">
        <v>220</v>
      </c>
      <c r="C6">
        <v>220</v>
      </c>
      <c r="D6">
        <v>0</v>
      </c>
      <c r="E6">
        <v>0</v>
      </c>
      <c r="F6" t="s">
        <v>214</v>
      </c>
      <c r="G6">
        <f>IFERROR(INDEX(Funcionarios!$A$3:$A$38,MATCH($A6,Funcionarios!$B$3:$B$38,0)),"")</f>
        <v>188</v>
      </c>
      <c r="H6" t="str">
        <f>IFERROR(INDEX(Funcionarios!$G$3:$G$38,MATCH($A6,Funcionarios!$B$3:$B$38,0)),"")</f>
        <v>ACME_OPERACIONAL_DIARIA</v>
      </c>
      <c r="I6" t="str">
        <f>IFERROR(INDEX(Funcionarios!$C$3:$C$38,MATCH($A6,Funcionarios!$B$3:$B$38,0)),"")</f>
        <v>Servente de Obras</v>
      </c>
    </row>
    <row r="7" spans="1:9" x14ac:dyDescent="0.3">
      <c r="A7" t="s">
        <v>70</v>
      </c>
      <c r="B7">
        <v>220</v>
      </c>
      <c r="C7">
        <v>220</v>
      </c>
      <c r="D7">
        <v>0</v>
      </c>
      <c r="E7">
        <v>0</v>
      </c>
      <c r="F7" t="s">
        <v>214</v>
      </c>
      <c r="G7">
        <f>IFERROR(INDEX(Funcionarios!$A$3:$A$38,MATCH($A7,Funcionarios!$B$3:$B$38,0)),"")</f>
        <v>247</v>
      </c>
      <c r="H7" t="str">
        <f>IFERROR(INDEX(Funcionarios!$G$3:$G$38,MATCH($A7,Funcionarios!$B$3:$B$38,0)),"")</f>
        <v>ACME_ADM DA FABRICA</v>
      </c>
      <c r="I7" t="str">
        <f>IFERROR(INDEX(Funcionarios!$C$3:$C$38,MATCH($A7,Funcionarios!$B$3:$B$38,0)),"")</f>
        <v>Gerente Administrativo</v>
      </c>
    </row>
    <row r="8" spans="1:9" x14ac:dyDescent="0.3">
      <c r="A8" t="s">
        <v>75</v>
      </c>
      <c r="B8">
        <v>220</v>
      </c>
      <c r="C8">
        <v>220</v>
      </c>
      <c r="D8">
        <v>0</v>
      </c>
      <c r="E8">
        <v>0</v>
      </c>
      <c r="F8" t="s">
        <v>214</v>
      </c>
      <c r="G8">
        <f>IFERROR(INDEX(Funcionarios!$A$3:$A$38,MATCH($A8,Funcionarios!$B$3:$B$38,0)),"")</f>
        <v>171</v>
      </c>
      <c r="H8" t="str">
        <f>IFERROR(INDEX(Funcionarios!$G$3:$G$38,MATCH($A8,Funcionarios!$B$3:$B$38,0)),"")</f>
        <v>Operacional</v>
      </c>
      <c r="I8" t="str">
        <f>IFERROR(INDEX(Funcionarios!$C$3:$C$38,MATCH($A8,Funcionarios!$B$3:$B$38,0)),"")</f>
        <v>Operador de Maquinas</v>
      </c>
    </row>
    <row r="9" spans="1:9" x14ac:dyDescent="0.3">
      <c r="A9" t="s">
        <v>78</v>
      </c>
      <c r="B9">
        <v>220</v>
      </c>
      <c r="C9">
        <v>220</v>
      </c>
      <c r="D9">
        <v>0</v>
      </c>
      <c r="E9">
        <v>0</v>
      </c>
      <c r="F9" t="s">
        <v>214</v>
      </c>
      <c r="G9">
        <f>IFERROR(INDEX(Funcionarios!$A$3:$A$38,MATCH($A9,Funcionarios!$B$3:$B$38,0)),"")</f>
        <v>255</v>
      </c>
      <c r="H9" t="str">
        <f>IFERROR(INDEX(Funcionarios!$G$3:$G$38,MATCH($A9,Funcionarios!$B$3:$B$38,0)),"")</f>
        <v>ACME_ADM DA FABRICA</v>
      </c>
      <c r="I9" t="str">
        <f>IFERROR(INDEX(Funcionarios!$C$3:$C$38,MATCH($A9,Funcionarios!$B$3:$B$38,0)),"")</f>
        <v>Supervisor de Producao</v>
      </c>
    </row>
    <row r="10" spans="1:9" x14ac:dyDescent="0.3">
      <c r="A10" t="s">
        <v>82</v>
      </c>
      <c r="B10">
        <v>220</v>
      </c>
      <c r="C10">
        <v>220</v>
      </c>
      <c r="D10">
        <v>0</v>
      </c>
      <c r="E10">
        <v>0</v>
      </c>
      <c r="F10" t="s">
        <v>214</v>
      </c>
      <c r="G10">
        <f>IFERROR(INDEX(Funcionarios!$A$3:$A$38,MATCH($A10,Funcionarios!$B$3:$B$38,0)),"")</f>
        <v>296</v>
      </c>
      <c r="H10" t="str">
        <f>IFERROR(INDEX(Funcionarios!$G$3:$G$38,MATCH($A10,Funcionarios!$B$3:$B$38,0)),"")</f>
        <v>Administracao - Fabrica</v>
      </c>
      <c r="I10" t="str">
        <f>IFERROR(INDEX(Funcionarios!$C$3:$C$38,MATCH($A10,Funcionarios!$B$3:$B$38,0)),"")</f>
        <v>Auxiliar Administrativo</v>
      </c>
    </row>
    <row r="11" spans="1:9" x14ac:dyDescent="0.3">
      <c r="A11" t="s">
        <v>86</v>
      </c>
      <c r="B11">
        <v>220</v>
      </c>
      <c r="C11">
        <v>220</v>
      </c>
      <c r="D11">
        <v>0</v>
      </c>
      <c r="E11">
        <v>0</v>
      </c>
      <c r="F11" t="s">
        <v>214</v>
      </c>
      <c r="G11">
        <f>IFERROR(INDEX(Funcionarios!$A$3:$A$38,MATCH($A11,Funcionarios!$B$3:$B$38,0)),"")</f>
        <v>154</v>
      </c>
      <c r="H11" t="str">
        <f>IFERROR(INDEX(Funcionarios!$G$3:$G$38,MATCH($A11,Funcionarios!$B$3:$B$38,0)),"")</f>
        <v>Operacional</v>
      </c>
      <c r="I11" t="str">
        <f>IFERROR(INDEX(Funcionarios!$C$3:$C$38,MATCH($A11,Funcionarios!$B$3:$B$38,0)),"")</f>
        <v>Operador de Maquinas</v>
      </c>
    </row>
    <row r="12" spans="1:9" x14ac:dyDescent="0.3">
      <c r="A12" t="s">
        <v>89</v>
      </c>
      <c r="B12">
        <v>220</v>
      </c>
      <c r="C12">
        <v>220</v>
      </c>
      <c r="D12">
        <v>0</v>
      </c>
      <c r="E12">
        <v>0</v>
      </c>
      <c r="F12" t="s">
        <v>214</v>
      </c>
      <c r="G12">
        <f>IFERROR(INDEX(Funcionarios!$A$3:$A$38,MATCH($A12,Funcionarios!$B$3:$B$38,0)),"")</f>
        <v>192</v>
      </c>
      <c r="H12" t="str">
        <f>IFERROR(INDEX(Funcionarios!$G$3:$G$38,MATCH($A12,Funcionarios!$B$3:$B$38,0)),"")</f>
        <v>Administracao - Fabrica</v>
      </c>
      <c r="I12" t="str">
        <f>IFERROR(INDEX(Funcionarios!$C$3:$C$38,MATCH($A12,Funcionarios!$B$3:$B$38,0)),"")</f>
        <v>Auxiliar Administrativo</v>
      </c>
    </row>
    <row r="13" spans="1:9" x14ac:dyDescent="0.3">
      <c r="A13" t="s">
        <v>92</v>
      </c>
      <c r="B13">
        <v>220</v>
      </c>
      <c r="C13">
        <v>220</v>
      </c>
      <c r="D13">
        <v>0</v>
      </c>
      <c r="E13">
        <v>0</v>
      </c>
      <c r="F13" t="s">
        <v>214</v>
      </c>
      <c r="G13">
        <f>IFERROR(INDEX(Funcionarios!$A$3:$A$38,MATCH($A13,Funcionarios!$B$3:$B$38,0)),"")</f>
        <v>252</v>
      </c>
      <c r="H13" t="str">
        <f>IFERROR(INDEX(Funcionarios!$G$3:$G$38,MATCH($A13,Funcionarios!$B$3:$B$38,0)),"")</f>
        <v>Pre-Moldados</v>
      </c>
      <c r="I13" t="str">
        <f>IFERROR(INDEX(Funcionarios!$C$3:$C$38,MATCH($A13,Funcionarios!$B$3:$B$38,0)),"")</f>
        <v>Supervisor de Producao</v>
      </c>
    </row>
    <row r="14" spans="1:9" x14ac:dyDescent="0.3">
      <c r="A14" t="s">
        <v>95</v>
      </c>
      <c r="B14">
        <v>220</v>
      </c>
      <c r="C14">
        <v>214.72</v>
      </c>
      <c r="D14">
        <v>5.28</v>
      </c>
      <c r="E14">
        <v>2.4E-2</v>
      </c>
      <c r="F14" t="s">
        <v>214</v>
      </c>
      <c r="G14">
        <f>IFERROR(INDEX(Funcionarios!$A$3:$A$38,MATCH($A14,Funcionarios!$B$3:$B$38,0)),"")</f>
        <v>274</v>
      </c>
      <c r="H14" t="str">
        <f>IFERROR(INDEX(Funcionarios!$G$3:$G$38,MATCH($A14,Funcionarios!$B$3:$B$38,0)),"")</f>
        <v>Apoio a Producao</v>
      </c>
      <c r="I14" t="str">
        <f>IFERROR(INDEX(Funcionarios!$C$3:$C$38,MATCH($A14,Funcionarios!$B$3:$B$38,0)),"")</f>
        <v>Servente de Obras</v>
      </c>
    </row>
    <row r="15" spans="1:9" x14ac:dyDescent="0.3">
      <c r="A15" t="s">
        <v>99</v>
      </c>
      <c r="B15">
        <v>220</v>
      </c>
      <c r="C15">
        <v>219.95</v>
      </c>
      <c r="D15">
        <v>0.05</v>
      </c>
      <c r="E15">
        <v>2.0000000000000001E-4</v>
      </c>
      <c r="F15" t="s">
        <v>214</v>
      </c>
      <c r="G15">
        <f>IFERROR(INDEX(Funcionarios!$A$3:$A$38,MATCH($A15,Funcionarios!$B$3:$B$38,0)),"")</f>
        <v>228</v>
      </c>
      <c r="H15" t="str">
        <f>IFERROR(INDEX(Funcionarios!$G$3:$G$38,MATCH($A15,Funcionarios!$B$3:$B$38,0)),"")</f>
        <v>Pre-Moldados</v>
      </c>
      <c r="I15" t="str">
        <f>IFERROR(INDEX(Funcionarios!$C$3:$C$38,MATCH($A15,Funcionarios!$B$3:$B$38,0)),"")</f>
        <v>Soldador</v>
      </c>
    </row>
    <row r="16" spans="1:9" x14ac:dyDescent="0.3">
      <c r="A16" t="s">
        <v>103</v>
      </c>
      <c r="B16">
        <v>220</v>
      </c>
      <c r="C16">
        <v>220</v>
      </c>
      <c r="D16">
        <v>0</v>
      </c>
      <c r="E16">
        <v>0</v>
      </c>
      <c r="F16" t="s">
        <v>214</v>
      </c>
      <c r="G16">
        <f>IFERROR(INDEX(Funcionarios!$A$3:$A$38,MATCH($A16,Funcionarios!$B$3:$B$38,0)),"")</f>
        <v>253</v>
      </c>
      <c r="H16" t="str">
        <f>IFERROR(INDEX(Funcionarios!$G$3:$G$38,MATCH($A16,Funcionarios!$B$3:$B$38,0)),"")</f>
        <v>ACME_ADM DA FABRICA</v>
      </c>
      <c r="I16" t="str">
        <f>IFERROR(INDEX(Funcionarios!$C$3:$C$38,MATCH($A16,Funcionarios!$B$3:$B$38,0)),"")</f>
        <v>Gerente Administrativo</v>
      </c>
    </row>
    <row r="17" spans="1:9" x14ac:dyDescent="0.3">
      <c r="A17" t="s">
        <v>106</v>
      </c>
      <c r="B17">
        <v>220</v>
      </c>
      <c r="C17">
        <v>214.32</v>
      </c>
      <c r="D17">
        <v>5.68</v>
      </c>
      <c r="E17">
        <v>2.58E-2</v>
      </c>
      <c r="F17" t="s">
        <v>214</v>
      </c>
      <c r="G17">
        <f>IFERROR(INDEX(Funcionarios!$A$3:$A$38,MATCH($A17,Funcionarios!$B$3:$B$38,0)),"")</f>
        <v>121</v>
      </c>
      <c r="H17" t="str">
        <f>IFERROR(INDEX(Funcionarios!$G$3:$G$38,MATCH($A17,Funcionarios!$B$3:$B$38,0)),"")</f>
        <v>Apoio a Producao</v>
      </c>
      <c r="I17" t="str">
        <f>IFERROR(INDEX(Funcionarios!$C$3:$C$38,MATCH($A17,Funcionarios!$B$3:$B$38,0)),"")</f>
        <v>Almoxarife</v>
      </c>
    </row>
    <row r="18" spans="1:9" x14ac:dyDescent="0.3">
      <c r="A18" t="s">
        <v>110</v>
      </c>
      <c r="B18">
        <v>220</v>
      </c>
      <c r="C18">
        <v>220</v>
      </c>
      <c r="D18">
        <v>0</v>
      </c>
      <c r="E18">
        <v>0</v>
      </c>
      <c r="F18" t="s">
        <v>214</v>
      </c>
      <c r="G18">
        <f>IFERROR(INDEX(Funcionarios!$A$3:$A$38,MATCH($A18,Funcionarios!$B$3:$B$38,0)),"")</f>
        <v>235</v>
      </c>
      <c r="H18" t="str">
        <f>IFERROR(INDEX(Funcionarios!$G$3:$G$38,MATCH($A18,Funcionarios!$B$3:$B$38,0)),"")</f>
        <v>ACME_OPERACIONAL_DIARIA</v>
      </c>
      <c r="I18" t="str">
        <f>IFERROR(INDEX(Funcionarios!$C$3:$C$38,MATCH($A18,Funcionarios!$B$3:$B$38,0)),"")</f>
        <v>Auxiliar de Producao</v>
      </c>
    </row>
    <row r="19" spans="1:9" x14ac:dyDescent="0.3">
      <c r="A19" t="s">
        <v>113</v>
      </c>
      <c r="B19">
        <v>220</v>
      </c>
      <c r="C19">
        <v>220</v>
      </c>
      <c r="D19">
        <v>0</v>
      </c>
      <c r="E19">
        <v>0</v>
      </c>
      <c r="F19" t="s">
        <v>214</v>
      </c>
      <c r="G19">
        <f>IFERROR(INDEX(Funcionarios!$A$3:$A$38,MATCH($A19,Funcionarios!$B$3:$B$38,0)),"")</f>
        <v>130</v>
      </c>
      <c r="H19" t="str">
        <f>IFERROR(INDEX(Funcionarios!$G$3:$G$38,MATCH($A19,Funcionarios!$B$3:$B$38,0)),"")</f>
        <v>Operacional</v>
      </c>
      <c r="I19" t="str">
        <f>IFERROR(INDEX(Funcionarios!$C$3:$C$38,MATCH($A19,Funcionarios!$B$3:$B$38,0)),"")</f>
        <v>Servente de Obras</v>
      </c>
    </row>
    <row r="20" spans="1:9" x14ac:dyDescent="0.3">
      <c r="A20" t="s">
        <v>116</v>
      </c>
      <c r="B20">
        <v>220</v>
      </c>
      <c r="C20">
        <v>213.78</v>
      </c>
      <c r="D20">
        <v>6.22</v>
      </c>
      <c r="E20">
        <v>2.8299999999999999E-2</v>
      </c>
      <c r="F20" t="s">
        <v>214</v>
      </c>
      <c r="G20">
        <f>IFERROR(INDEX(Funcionarios!$A$3:$A$38,MATCH($A20,Funcionarios!$B$3:$B$38,0)),"")</f>
        <v>158</v>
      </c>
      <c r="H20" t="str">
        <f>IFERROR(INDEX(Funcionarios!$G$3:$G$38,MATCH($A20,Funcionarios!$B$3:$B$38,0)),"")</f>
        <v>ACME_ADM DA FABRICA</v>
      </c>
      <c r="I20" t="str">
        <f>IFERROR(INDEX(Funcionarios!$C$3:$C$38,MATCH($A20,Funcionarios!$B$3:$B$38,0)),"")</f>
        <v>Supervisor de Producao</v>
      </c>
    </row>
    <row r="21" spans="1:9" x14ac:dyDescent="0.3">
      <c r="A21" t="s">
        <v>119</v>
      </c>
      <c r="B21">
        <v>220</v>
      </c>
      <c r="C21">
        <v>220</v>
      </c>
      <c r="D21">
        <v>0</v>
      </c>
      <c r="E21">
        <v>0</v>
      </c>
      <c r="F21" t="s">
        <v>214</v>
      </c>
      <c r="G21">
        <f>IFERROR(INDEX(Funcionarios!$A$3:$A$38,MATCH($A21,Funcionarios!$B$3:$B$38,0)),"")</f>
        <v>162</v>
      </c>
      <c r="H21" t="str">
        <f>IFERROR(INDEX(Funcionarios!$G$3:$G$38,MATCH($A21,Funcionarios!$B$3:$B$38,0)),"")</f>
        <v>ACME_DP/RH</v>
      </c>
      <c r="I21" t="str">
        <f>IFERROR(INDEX(Funcionarios!$C$3:$C$38,MATCH($A21,Funcionarios!$B$3:$B$38,0)),"")</f>
        <v>Assistente Administrativo</v>
      </c>
    </row>
    <row r="22" spans="1:9" x14ac:dyDescent="0.3">
      <c r="A22" t="s">
        <v>124</v>
      </c>
      <c r="B22">
        <v>220</v>
      </c>
      <c r="C22">
        <v>220</v>
      </c>
      <c r="D22">
        <v>0</v>
      </c>
      <c r="E22">
        <v>0</v>
      </c>
      <c r="F22" t="s">
        <v>214</v>
      </c>
      <c r="G22">
        <f>IFERROR(INDEX(Funcionarios!$A$3:$A$38,MATCH($A22,Funcionarios!$B$3:$B$38,0)),"")</f>
        <v>272</v>
      </c>
      <c r="H22" t="str">
        <f>IFERROR(INDEX(Funcionarios!$G$3:$G$38,MATCH($A22,Funcionarios!$B$3:$B$38,0)),"")</f>
        <v>Administracao - Fabrica</v>
      </c>
      <c r="I22" t="str">
        <f>IFERROR(INDEX(Funcionarios!$C$3:$C$38,MATCH($A22,Funcionarios!$B$3:$B$38,0)),"")</f>
        <v>Auxiliar Administrativo</v>
      </c>
    </row>
    <row r="23" spans="1:9" x14ac:dyDescent="0.3">
      <c r="A23" t="s">
        <v>127</v>
      </c>
      <c r="B23">
        <v>220</v>
      </c>
      <c r="C23">
        <v>213.28</v>
      </c>
      <c r="D23">
        <v>6.72</v>
      </c>
      <c r="E23">
        <v>3.0499999999999999E-2</v>
      </c>
      <c r="F23" t="s">
        <v>214</v>
      </c>
      <c r="G23">
        <f>IFERROR(INDEX(Funcionarios!$A$3:$A$38,MATCH($A23,Funcionarios!$B$3:$B$38,0)),"")</f>
        <v>208</v>
      </c>
      <c r="H23" t="str">
        <f>IFERROR(INDEX(Funcionarios!$G$3:$G$38,MATCH($A23,Funcionarios!$B$3:$B$38,0)),"")</f>
        <v>Administracao - Fabrica</v>
      </c>
      <c r="I23" t="str">
        <f>IFERROR(INDEX(Funcionarios!$C$3:$C$38,MATCH($A23,Funcionarios!$B$3:$B$38,0)),"")</f>
        <v>Auxiliar de Almoxarifado</v>
      </c>
    </row>
    <row r="24" spans="1:9" x14ac:dyDescent="0.3">
      <c r="A24" t="s">
        <v>131</v>
      </c>
      <c r="B24">
        <v>220</v>
      </c>
      <c r="C24">
        <v>216.68</v>
      </c>
      <c r="D24">
        <v>3.32</v>
      </c>
      <c r="E24">
        <v>1.5100000000000001E-2</v>
      </c>
      <c r="F24" t="s">
        <v>214</v>
      </c>
      <c r="G24">
        <f>IFERROR(INDEX(Funcionarios!$A$3:$A$38,MATCH($A24,Funcionarios!$B$3:$B$38,0)),"")</f>
        <v>112</v>
      </c>
      <c r="H24" t="str">
        <f>IFERROR(INDEX(Funcionarios!$G$3:$G$38,MATCH($A24,Funcionarios!$B$3:$B$38,0)),"")</f>
        <v>ACME_PRODUCAO</v>
      </c>
      <c r="I24" t="str">
        <f>IFERROR(INDEX(Funcionarios!$C$3:$C$38,MATCH($A24,Funcionarios!$B$3:$B$38,0)),"")</f>
        <v>Soldador</v>
      </c>
    </row>
    <row r="25" spans="1:9" x14ac:dyDescent="0.3">
      <c r="A25" t="s">
        <v>135</v>
      </c>
      <c r="B25">
        <v>220</v>
      </c>
      <c r="C25">
        <v>220</v>
      </c>
      <c r="D25">
        <v>0</v>
      </c>
      <c r="E25">
        <v>0</v>
      </c>
      <c r="F25" t="s">
        <v>214</v>
      </c>
      <c r="G25">
        <f>IFERROR(INDEX(Funcionarios!$A$3:$A$38,MATCH($A25,Funcionarios!$B$3:$B$38,0)),"")</f>
        <v>197</v>
      </c>
      <c r="H25" t="str">
        <f>IFERROR(INDEX(Funcionarios!$G$3:$G$38,MATCH($A25,Funcionarios!$B$3:$B$38,0)),"")</f>
        <v>Pre-Moldados</v>
      </c>
      <c r="I25" t="str">
        <f>IFERROR(INDEX(Funcionarios!$C$3:$C$38,MATCH($A25,Funcionarios!$B$3:$B$38,0)),"")</f>
        <v>Auxiliar de Producao</v>
      </c>
    </row>
    <row r="26" spans="1:9" x14ac:dyDescent="0.3">
      <c r="A26" t="s">
        <v>138</v>
      </c>
      <c r="B26">
        <v>220</v>
      </c>
      <c r="C26">
        <v>220</v>
      </c>
      <c r="D26">
        <v>0</v>
      </c>
      <c r="E26">
        <v>0</v>
      </c>
      <c r="F26" t="s">
        <v>214</v>
      </c>
      <c r="G26">
        <f>IFERROR(INDEX(Funcionarios!$A$3:$A$38,MATCH($A26,Funcionarios!$B$3:$B$38,0)),"")</f>
        <v>248</v>
      </c>
      <c r="H26" t="str">
        <f>IFERROR(INDEX(Funcionarios!$G$3:$G$38,MATCH($A26,Funcionarios!$B$3:$B$38,0)),"")</f>
        <v>Pre-Moldados</v>
      </c>
      <c r="I26" t="str">
        <f>IFERROR(INDEX(Funcionarios!$C$3:$C$38,MATCH($A26,Funcionarios!$B$3:$B$38,0)),"")</f>
        <v>Soldador</v>
      </c>
    </row>
    <row r="27" spans="1:9" x14ac:dyDescent="0.3">
      <c r="A27" t="s">
        <v>141</v>
      </c>
      <c r="B27">
        <v>220</v>
      </c>
      <c r="C27">
        <v>220</v>
      </c>
      <c r="D27">
        <v>0</v>
      </c>
      <c r="E27">
        <v>0</v>
      </c>
      <c r="F27" t="s">
        <v>214</v>
      </c>
      <c r="G27">
        <f>IFERROR(INDEX(Funcionarios!$A$3:$A$38,MATCH($A27,Funcionarios!$B$3:$B$38,0)),"")</f>
        <v>117</v>
      </c>
      <c r="H27" t="str">
        <f>IFERROR(INDEX(Funcionarios!$G$3:$G$38,MATCH($A27,Funcionarios!$B$3:$B$38,0)),"")</f>
        <v>Operacional</v>
      </c>
      <c r="I27" t="str">
        <f>IFERROR(INDEX(Funcionarios!$C$3:$C$38,MATCH($A27,Funcionarios!$B$3:$B$38,0)),"")</f>
        <v>Pedreiro</v>
      </c>
    </row>
    <row r="28" spans="1:9" x14ac:dyDescent="0.3">
      <c r="A28" t="s">
        <v>145</v>
      </c>
      <c r="B28">
        <v>220</v>
      </c>
      <c r="C28">
        <v>220</v>
      </c>
      <c r="D28">
        <v>0</v>
      </c>
      <c r="E28">
        <v>0</v>
      </c>
      <c r="F28" t="s">
        <v>214</v>
      </c>
      <c r="G28">
        <f>IFERROR(INDEX(Funcionarios!$A$3:$A$38,MATCH($A28,Funcionarios!$B$3:$B$38,0)),"")</f>
        <v>166</v>
      </c>
      <c r="H28" t="str">
        <f>IFERROR(INDEX(Funcionarios!$G$3:$G$38,MATCH($A28,Funcionarios!$B$3:$B$38,0)),"")</f>
        <v>Apoio a Producao</v>
      </c>
      <c r="I28" t="str">
        <f>IFERROR(INDEX(Funcionarios!$C$3:$C$38,MATCH($A28,Funcionarios!$B$3:$B$38,0)),"")</f>
        <v>Almoxarife</v>
      </c>
    </row>
    <row r="29" spans="1:9" x14ac:dyDescent="0.3">
      <c r="A29" t="s">
        <v>148</v>
      </c>
      <c r="B29">
        <v>220</v>
      </c>
      <c r="C29">
        <v>220</v>
      </c>
      <c r="D29">
        <v>0</v>
      </c>
      <c r="E29">
        <v>0</v>
      </c>
      <c r="F29" t="s">
        <v>214</v>
      </c>
      <c r="G29">
        <f>IFERROR(INDEX(Funcionarios!$A$3:$A$38,MATCH($A29,Funcionarios!$B$3:$B$38,0)),"")</f>
        <v>102</v>
      </c>
      <c r="H29" t="str">
        <f>IFERROR(INDEX(Funcionarios!$G$3:$G$38,MATCH($A29,Funcionarios!$B$3:$B$38,0)),"")</f>
        <v>Pre-Moldados</v>
      </c>
      <c r="I29" t="str">
        <f>IFERROR(INDEX(Funcionarios!$C$3:$C$38,MATCH($A29,Funcionarios!$B$3:$B$38,0)),"")</f>
        <v>Supervisor de Producao</v>
      </c>
    </row>
    <row r="30" spans="1:9" x14ac:dyDescent="0.3">
      <c r="A30" t="s">
        <v>151</v>
      </c>
      <c r="B30">
        <v>220</v>
      </c>
      <c r="C30">
        <v>220</v>
      </c>
      <c r="D30">
        <v>0</v>
      </c>
      <c r="E30">
        <v>0</v>
      </c>
      <c r="F30" t="s">
        <v>214</v>
      </c>
      <c r="G30">
        <f>IFERROR(INDEX(Funcionarios!$A$3:$A$38,MATCH($A30,Funcionarios!$B$3:$B$38,0)),"")</f>
        <v>194</v>
      </c>
      <c r="H30" t="str">
        <f>IFERROR(INDEX(Funcionarios!$G$3:$G$38,MATCH($A30,Funcionarios!$B$3:$B$38,0)),"")</f>
        <v>Pre-Moldados</v>
      </c>
      <c r="I30" t="str">
        <f>IFERROR(INDEX(Funcionarios!$C$3:$C$38,MATCH($A30,Funcionarios!$B$3:$B$38,0)),"")</f>
        <v>Operador de Maquinas</v>
      </c>
    </row>
    <row r="31" spans="1:9" x14ac:dyDescent="0.3">
      <c r="A31" t="s">
        <v>154</v>
      </c>
      <c r="B31">
        <v>220</v>
      </c>
      <c r="C31">
        <v>220</v>
      </c>
      <c r="D31">
        <v>0</v>
      </c>
      <c r="E31">
        <v>0</v>
      </c>
      <c r="F31" t="s">
        <v>214</v>
      </c>
      <c r="G31">
        <f>IFERROR(INDEX(Funcionarios!$A$3:$A$38,MATCH($A31,Funcionarios!$B$3:$B$38,0)),"")</f>
        <v>134</v>
      </c>
      <c r="H31" t="str">
        <f>IFERROR(INDEX(Funcionarios!$G$3:$G$38,MATCH($A31,Funcionarios!$B$3:$B$38,0)),"")</f>
        <v>Operacional</v>
      </c>
      <c r="I31" t="str">
        <f>IFERROR(INDEX(Funcionarios!$C$3:$C$38,MATCH($A31,Funcionarios!$B$3:$B$38,0)),"")</f>
        <v>Operador de Maquinas</v>
      </c>
    </row>
    <row r="32" spans="1:9" x14ac:dyDescent="0.3">
      <c r="A32" t="s">
        <v>157</v>
      </c>
      <c r="B32">
        <v>220</v>
      </c>
      <c r="C32">
        <v>220</v>
      </c>
      <c r="D32">
        <v>0</v>
      </c>
      <c r="E32">
        <v>0</v>
      </c>
      <c r="F32" t="s">
        <v>214</v>
      </c>
      <c r="G32">
        <f>IFERROR(INDEX(Funcionarios!$A$3:$A$38,MATCH($A32,Funcionarios!$B$3:$B$38,0)),"")</f>
        <v>229</v>
      </c>
      <c r="H32" t="str">
        <f>IFERROR(INDEX(Funcionarios!$G$3:$G$38,MATCH($A32,Funcionarios!$B$3:$B$38,0)),"")</f>
        <v>ACME_ADM DA FABRICA</v>
      </c>
      <c r="I32" t="str">
        <f>IFERROR(INDEX(Funcionarios!$C$3:$C$38,MATCH($A32,Funcionarios!$B$3:$B$38,0)),"")</f>
        <v>Gerente Administrativo</v>
      </c>
    </row>
    <row r="33" spans="1:9" x14ac:dyDescent="0.3">
      <c r="A33" t="s">
        <v>160</v>
      </c>
      <c r="B33">
        <v>220</v>
      </c>
      <c r="C33">
        <v>220</v>
      </c>
      <c r="D33">
        <v>0</v>
      </c>
      <c r="E33">
        <v>0</v>
      </c>
      <c r="F33" t="s">
        <v>214</v>
      </c>
      <c r="G33">
        <f>IFERROR(INDEX(Funcionarios!$A$3:$A$38,MATCH($A33,Funcionarios!$B$3:$B$38,0)),"")</f>
        <v>141</v>
      </c>
      <c r="H33" t="str">
        <f>IFERROR(INDEX(Funcionarios!$G$3:$G$38,MATCH($A33,Funcionarios!$B$3:$B$38,0)),"")</f>
        <v>Administracao - Fabrica</v>
      </c>
      <c r="I33" t="str">
        <f>IFERROR(INDEX(Funcionarios!$C$3:$C$38,MATCH($A33,Funcionarios!$B$3:$B$38,0)),"")</f>
        <v>Assistente Administrativo</v>
      </c>
    </row>
    <row r="34" spans="1:9" x14ac:dyDescent="0.3">
      <c r="A34" t="s">
        <v>163</v>
      </c>
      <c r="B34">
        <v>220</v>
      </c>
      <c r="C34">
        <v>220</v>
      </c>
      <c r="D34">
        <v>0</v>
      </c>
      <c r="E34">
        <v>0</v>
      </c>
      <c r="F34" t="s">
        <v>214</v>
      </c>
      <c r="G34">
        <f>IFERROR(INDEX(Funcionarios!$A$3:$A$38,MATCH($A34,Funcionarios!$B$3:$B$38,0)),"")</f>
        <v>239</v>
      </c>
      <c r="H34" t="str">
        <f>IFERROR(INDEX(Funcionarios!$G$3:$G$38,MATCH($A34,Funcionarios!$B$3:$B$38,0)),"")</f>
        <v>Administracao - Escritorio</v>
      </c>
      <c r="I34" t="str">
        <f>IFERROR(INDEX(Funcionarios!$C$3:$C$38,MATCH($A34,Funcionarios!$B$3:$B$38,0)),"")</f>
        <v>Assistente Administrativo</v>
      </c>
    </row>
    <row r="35" spans="1:9" x14ac:dyDescent="0.3">
      <c r="A35" t="s">
        <v>168</v>
      </c>
      <c r="B35">
        <v>220</v>
      </c>
      <c r="C35">
        <v>220</v>
      </c>
      <c r="D35">
        <v>0</v>
      </c>
      <c r="E35">
        <v>0</v>
      </c>
      <c r="F35" t="s">
        <v>214</v>
      </c>
      <c r="G35">
        <f>IFERROR(INDEX(Funcionarios!$A$3:$A$38,MATCH($A35,Funcionarios!$B$3:$B$38,0)),"")</f>
        <v>191</v>
      </c>
      <c r="H35" t="str">
        <f>IFERROR(INDEX(Funcionarios!$G$3:$G$38,MATCH($A35,Funcionarios!$B$3:$B$38,0)),"")</f>
        <v>Pre-Moldados</v>
      </c>
      <c r="I35" t="str">
        <f>IFERROR(INDEX(Funcionarios!$C$3:$C$38,MATCH($A35,Funcionarios!$B$3:$B$38,0)),"")</f>
        <v>Auxiliar de Producao</v>
      </c>
    </row>
    <row r="36" spans="1:9" x14ac:dyDescent="0.3">
      <c r="A36" t="s">
        <v>171</v>
      </c>
      <c r="B36">
        <v>220</v>
      </c>
      <c r="C36">
        <v>220</v>
      </c>
      <c r="D36">
        <v>0</v>
      </c>
      <c r="E36">
        <v>0</v>
      </c>
      <c r="F36" t="s">
        <v>214</v>
      </c>
      <c r="G36">
        <f>IFERROR(INDEX(Funcionarios!$A$3:$A$38,MATCH($A36,Funcionarios!$B$3:$B$38,0)),"")</f>
        <v>145</v>
      </c>
      <c r="H36" t="str">
        <f>IFERROR(INDEX(Funcionarios!$G$3:$G$38,MATCH($A36,Funcionarios!$B$3:$B$38,0)),"")</f>
        <v>ACME_OPERACIONAL_DIARIA</v>
      </c>
      <c r="I36" t="str">
        <f>IFERROR(INDEX(Funcionarios!$C$3:$C$38,MATCH($A36,Funcionarios!$B$3:$B$38,0)),"")</f>
        <v>Auxiliar de Producao</v>
      </c>
    </row>
    <row r="37" spans="1:9" x14ac:dyDescent="0.3">
      <c r="A37" t="s">
        <v>174</v>
      </c>
      <c r="B37">
        <v>220</v>
      </c>
      <c r="C37">
        <v>220</v>
      </c>
      <c r="D37">
        <v>0</v>
      </c>
      <c r="E37">
        <v>0</v>
      </c>
      <c r="F37" t="s">
        <v>214</v>
      </c>
      <c r="G37">
        <f>IFERROR(INDEX(Funcionarios!$A$3:$A$38,MATCH($A37,Funcionarios!$B$3:$B$38,0)),"")</f>
        <v>140</v>
      </c>
      <c r="H37" t="str">
        <f>IFERROR(INDEX(Funcionarios!$G$3:$G$38,MATCH($A37,Funcionarios!$B$3:$B$38,0)),"")</f>
        <v>ACME_DP/RH</v>
      </c>
      <c r="I37" t="str">
        <f>IFERROR(INDEX(Funcionarios!$C$3:$C$38,MATCH($A37,Funcionarios!$B$3:$B$38,0)),"")</f>
        <v>Assistente Administrativo</v>
      </c>
    </row>
    <row r="38" spans="1:9" x14ac:dyDescent="0.3">
      <c r="A38" t="s">
        <v>177</v>
      </c>
      <c r="B38">
        <v>220</v>
      </c>
      <c r="C38">
        <v>220</v>
      </c>
      <c r="D38">
        <v>0</v>
      </c>
      <c r="E38">
        <v>0</v>
      </c>
      <c r="F38" t="s">
        <v>214</v>
      </c>
      <c r="G38">
        <f>IFERROR(INDEX(Funcionarios!$A$3:$A$38,MATCH($A38,Funcionarios!$B$3:$B$38,0)),"")</f>
        <v>106</v>
      </c>
      <c r="H38" t="str">
        <f>IFERROR(INDEX(Funcionarios!$G$3:$G$38,MATCH($A38,Funcionarios!$B$3:$B$38,0)),"")</f>
        <v>ACME_ADM DA FABRICA</v>
      </c>
      <c r="I38" t="str">
        <f>IFERROR(INDEX(Funcionarios!$C$3:$C$38,MATCH($A38,Funcionarios!$B$3:$B$38,0)),"")</f>
        <v>Assistente Administrativo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/>
  </sheetViews>
  <sheetFormatPr defaultRowHeight="14.4" x14ac:dyDescent="0.3"/>
  <cols>
    <col min="1" max="1" width="34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6" customWidth="1"/>
    <col min="8" max="8" width="22" customWidth="1"/>
    <col min="9" max="9" width="20" customWidth="1"/>
  </cols>
  <sheetData>
    <row r="1" spans="1:9" ht="15.6" customHeight="1" x14ac:dyDescent="0.3">
      <c r="A1" s="7" t="s">
        <v>215</v>
      </c>
    </row>
    <row r="2" spans="1:9" x14ac:dyDescent="0.3">
      <c r="A2" s="10" t="s">
        <v>206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185</v>
      </c>
    </row>
    <row r="3" spans="1:9" x14ac:dyDescent="0.3">
      <c r="A3" t="s">
        <v>45</v>
      </c>
      <c r="B3">
        <v>220</v>
      </c>
      <c r="C3">
        <v>220</v>
      </c>
      <c r="D3">
        <v>0</v>
      </c>
      <c r="E3">
        <v>0</v>
      </c>
      <c r="F3" t="s">
        <v>216</v>
      </c>
      <c r="G3">
        <f>IFERROR(INDEX(Funcionarios!$A$3:$A$38,MATCH($A3,Funcionarios!$B$3:$B$38,0)),"")</f>
        <v>263</v>
      </c>
      <c r="H3" t="str">
        <f>IFERROR(INDEX(Funcionarios!$G$3:$G$38,MATCH($A3,Funcionarios!$B$3:$B$38,0)),"")</f>
        <v>Administracao - Fabrica</v>
      </c>
      <c r="I3" t="str">
        <f>IFERROR(INDEX(Funcionarios!$C$3:$C$38,MATCH($A3,Funcionarios!$B$3:$B$38,0)),"")</f>
        <v>Assistente Administrativo</v>
      </c>
    </row>
    <row r="4" spans="1:9" x14ac:dyDescent="0.3">
      <c r="A4" t="s">
        <v>52</v>
      </c>
      <c r="B4">
        <v>220</v>
      </c>
      <c r="C4">
        <v>220</v>
      </c>
      <c r="D4">
        <v>0</v>
      </c>
      <c r="E4">
        <v>0</v>
      </c>
      <c r="F4" t="s">
        <v>216</v>
      </c>
      <c r="G4">
        <f>IFERROR(INDEX(Funcionarios!$A$3:$A$38,MATCH($A4,Funcionarios!$B$3:$B$38,0)),"")</f>
        <v>155</v>
      </c>
      <c r="H4" t="str">
        <f>IFERROR(INDEX(Funcionarios!$G$3:$G$38,MATCH($A4,Funcionarios!$B$3:$B$38,0)),"")</f>
        <v>Pre-Moldados</v>
      </c>
      <c r="I4" t="str">
        <f>IFERROR(INDEX(Funcionarios!$C$3:$C$38,MATCH($A4,Funcionarios!$B$3:$B$38,0)),"")</f>
        <v>Auxiliar de Producao</v>
      </c>
    </row>
    <row r="5" spans="1:9" x14ac:dyDescent="0.3">
      <c r="A5" t="s">
        <v>58</v>
      </c>
      <c r="B5">
        <v>220</v>
      </c>
      <c r="C5">
        <v>220</v>
      </c>
      <c r="D5">
        <v>0</v>
      </c>
      <c r="E5">
        <v>0</v>
      </c>
      <c r="F5" t="s">
        <v>216</v>
      </c>
      <c r="G5">
        <f>IFERROR(INDEX(Funcionarios!$A$3:$A$38,MATCH($A5,Funcionarios!$B$3:$B$38,0)),"")</f>
        <v>294</v>
      </c>
      <c r="H5" t="str">
        <f>IFERROR(INDEX(Funcionarios!$G$3:$G$38,MATCH($A5,Funcionarios!$B$3:$B$38,0)),"")</f>
        <v>Operacional</v>
      </c>
      <c r="I5" t="str">
        <f>IFERROR(INDEX(Funcionarios!$C$3:$C$38,MATCH($A5,Funcionarios!$B$3:$B$38,0)),"")</f>
        <v>Operador de Maquinas</v>
      </c>
    </row>
    <row r="6" spans="1:9" x14ac:dyDescent="0.3">
      <c r="A6" t="s">
        <v>64</v>
      </c>
      <c r="B6">
        <v>220</v>
      </c>
      <c r="C6">
        <v>213.29</v>
      </c>
      <c r="D6">
        <v>6.71</v>
      </c>
      <c r="E6">
        <v>3.0499999999999999E-2</v>
      </c>
      <c r="F6" t="s">
        <v>216</v>
      </c>
      <c r="G6">
        <f>IFERROR(INDEX(Funcionarios!$A$3:$A$38,MATCH($A6,Funcionarios!$B$3:$B$38,0)),"")</f>
        <v>188</v>
      </c>
      <c r="H6" t="str">
        <f>IFERROR(INDEX(Funcionarios!$G$3:$G$38,MATCH($A6,Funcionarios!$B$3:$B$38,0)),"")</f>
        <v>ACME_OPERACIONAL_DIARIA</v>
      </c>
      <c r="I6" t="str">
        <f>IFERROR(INDEX(Funcionarios!$C$3:$C$38,MATCH($A6,Funcionarios!$B$3:$B$38,0)),"")</f>
        <v>Servente de Obras</v>
      </c>
    </row>
    <row r="7" spans="1:9" x14ac:dyDescent="0.3">
      <c r="A7" t="s">
        <v>70</v>
      </c>
      <c r="B7">
        <v>220</v>
      </c>
      <c r="C7">
        <v>220</v>
      </c>
      <c r="D7">
        <v>0</v>
      </c>
      <c r="E7">
        <v>0</v>
      </c>
      <c r="F7" t="s">
        <v>216</v>
      </c>
      <c r="G7">
        <f>IFERROR(INDEX(Funcionarios!$A$3:$A$38,MATCH($A7,Funcionarios!$B$3:$B$38,0)),"")</f>
        <v>247</v>
      </c>
      <c r="H7" t="str">
        <f>IFERROR(INDEX(Funcionarios!$G$3:$G$38,MATCH($A7,Funcionarios!$B$3:$B$38,0)),"")</f>
        <v>ACME_ADM DA FABRICA</v>
      </c>
      <c r="I7" t="str">
        <f>IFERROR(INDEX(Funcionarios!$C$3:$C$38,MATCH($A7,Funcionarios!$B$3:$B$38,0)),"")</f>
        <v>Gerente Administrativo</v>
      </c>
    </row>
    <row r="8" spans="1:9" x14ac:dyDescent="0.3">
      <c r="A8" t="s">
        <v>75</v>
      </c>
      <c r="B8">
        <v>220</v>
      </c>
      <c r="C8">
        <v>220</v>
      </c>
      <c r="D8">
        <v>0</v>
      </c>
      <c r="E8">
        <v>0</v>
      </c>
      <c r="F8" t="s">
        <v>216</v>
      </c>
      <c r="G8">
        <f>IFERROR(INDEX(Funcionarios!$A$3:$A$38,MATCH($A8,Funcionarios!$B$3:$B$38,0)),"")</f>
        <v>171</v>
      </c>
      <c r="H8" t="str">
        <f>IFERROR(INDEX(Funcionarios!$G$3:$G$38,MATCH($A8,Funcionarios!$B$3:$B$38,0)),"")</f>
        <v>Operacional</v>
      </c>
      <c r="I8" t="str">
        <f>IFERROR(INDEX(Funcionarios!$C$3:$C$38,MATCH($A8,Funcionarios!$B$3:$B$38,0)),"")</f>
        <v>Operador de Maquinas</v>
      </c>
    </row>
    <row r="9" spans="1:9" x14ac:dyDescent="0.3">
      <c r="A9" t="s">
        <v>78</v>
      </c>
      <c r="B9">
        <v>220</v>
      </c>
      <c r="C9">
        <v>218.54</v>
      </c>
      <c r="D9">
        <v>1.46</v>
      </c>
      <c r="E9">
        <v>6.6E-3</v>
      </c>
      <c r="F9" t="s">
        <v>216</v>
      </c>
      <c r="G9">
        <f>IFERROR(INDEX(Funcionarios!$A$3:$A$38,MATCH($A9,Funcionarios!$B$3:$B$38,0)),"")</f>
        <v>255</v>
      </c>
      <c r="H9" t="str">
        <f>IFERROR(INDEX(Funcionarios!$G$3:$G$38,MATCH($A9,Funcionarios!$B$3:$B$38,0)),"")</f>
        <v>ACME_ADM DA FABRICA</v>
      </c>
      <c r="I9" t="str">
        <f>IFERROR(INDEX(Funcionarios!$C$3:$C$38,MATCH($A9,Funcionarios!$B$3:$B$38,0)),"")</f>
        <v>Supervisor de Producao</v>
      </c>
    </row>
    <row r="10" spans="1:9" x14ac:dyDescent="0.3">
      <c r="A10" t="s">
        <v>82</v>
      </c>
      <c r="B10">
        <v>220</v>
      </c>
      <c r="C10">
        <v>220</v>
      </c>
      <c r="D10">
        <v>0</v>
      </c>
      <c r="E10">
        <v>0</v>
      </c>
      <c r="F10" t="s">
        <v>216</v>
      </c>
      <c r="G10">
        <f>IFERROR(INDEX(Funcionarios!$A$3:$A$38,MATCH($A10,Funcionarios!$B$3:$B$38,0)),"")</f>
        <v>296</v>
      </c>
      <c r="H10" t="str">
        <f>IFERROR(INDEX(Funcionarios!$G$3:$G$38,MATCH($A10,Funcionarios!$B$3:$B$38,0)),"")</f>
        <v>Administracao - Fabrica</v>
      </c>
      <c r="I10" t="str">
        <f>IFERROR(INDEX(Funcionarios!$C$3:$C$38,MATCH($A10,Funcionarios!$B$3:$B$38,0)),"")</f>
        <v>Auxiliar Administrativo</v>
      </c>
    </row>
    <row r="11" spans="1:9" x14ac:dyDescent="0.3">
      <c r="A11" t="s">
        <v>86</v>
      </c>
      <c r="B11">
        <v>220</v>
      </c>
      <c r="C11">
        <v>217.11</v>
      </c>
      <c r="D11">
        <v>2.89</v>
      </c>
      <c r="E11">
        <v>1.3100000000000001E-2</v>
      </c>
      <c r="F11" t="s">
        <v>216</v>
      </c>
      <c r="G11">
        <f>IFERROR(INDEX(Funcionarios!$A$3:$A$38,MATCH($A11,Funcionarios!$B$3:$B$38,0)),"")</f>
        <v>154</v>
      </c>
      <c r="H11" t="str">
        <f>IFERROR(INDEX(Funcionarios!$G$3:$G$38,MATCH($A11,Funcionarios!$B$3:$B$38,0)),"")</f>
        <v>Operacional</v>
      </c>
      <c r="I11" t="str">
        <f>IFERROR(INDEX(Funcionarios!$C$3:$C$38,MATCH($A11,Funcionarios!$B$3:$B$38,0)),"")</f>
        <v>Operador de Maquinas</v>
      </c>
    </row>
    <row r="12" spans="1:9" x14ac:dyDescent="0.3">
      <c r="A12" t="s">
        <v>89</v>
      </c>
      <c r="B12">
        <v>220</v>
      </c>
      <c r="C12">
        <v>211.97</v>
      </c>
      <c r="D12">
        <v>8.0299999999999994</v>
      </c>
      <c r="E12">
        <v>3.6499999999999998E-2</v>
      </c>
      <c r="F12" t="s">
        <v>216</v>
      </c>
      <c r="G12">
        <f>IFERROR(INDEX(Funcionarios!$A$3:$A$38,MATCH($A12,Funcionarios!$B$3:$B$38,0)),"")</f>
        <v>192</v>
      </c>
      <c r="H12" t="str">
        <f>IFERROR(INDEX(Funcionarios!$G$3:$G$38,MATCH($A12,Funcionarios!$B$3:$B$38,0)),"")</f>
        <v>Administracao - Fabrica</v>
      </c>
      <c r="I12" t="str">
        <f>IFERROR(INDEX(Funcionarios!$C$3:$C$38,MATCH($A12,Funcionarios!$B$3:$B$38,0)),"")</f>
        <v>Auxiliar Administrativo</v>
      </c>
    </row>
    <row r="13" spans="1:9" x14ac:dyDescent="0.3">
      <c r="A13" t="s">
        <v>92</v>
      </c>
      <c r="B13">
        <v>220</v>
      </c>
      <c r="C13">
        <v>220</v>
      </c>
      <c r="D13">
        <v>0</v>
      </c>
      <c r="E13">
        <v>0</v>
      </c>
      <c r="F13" t="s">
        <v>216</v>
      </c>
      <c r="G13">
        <f>IFERROR(INDEX(Funcionarios!$A$3:$A$38,MATCH($A13,Funcionarios!$B$3:$B$38,0)),"")</f>
        <v>252</v>
      </c>
      <c r="H13" t="str">
        <f>IFERROR(INDEX(Funcionarios!$G$3:$G$38,MATCH($A13,Funcionarios!$B$3:$B$38,0)),"")</f>
        <v>Pre-Moldados</v>
      </c>
      <c r="I13" t="str">
        <f>IFERROR(INDEX(Funcionarios!$C$3:$C$38,MATCH($A13,Funcionarios!$B$3:$B$38,0)),"")</f>
        <v>Supervisor de Producao</v>
      </c>
    </row>
    <row r="14" spans="1:9" x14ac:dyDescent="0.3">
      <c r="A14" t="s">
        <v>95</v>
      </c>
      <c r="B14">
        <v>220</v>
      </c>
      <c r="C14">
        <v>220</v>
      </c>
      <c r="D14">
        <v>0</v>
      </c>
      <c r="E14">
        <v>0</v>
      </c>
      <c r="F14" t="s">
        <v>216</v>
      </c>
      <c r="G14">
        <f>IFERROR(INDEX(Funcionarios!$A$3:$A$38,MATCH($A14,Funcionarios!$B$3:$B$38,0)),"")</f>
        <v>274</v>
      </c>
      <c r="H14" t="str">
        <f>IFERROR(INDEX(Funcionarios!$G$3:$G$38,MATCH($A14,Funcionarios!$B$3:$B$38,0)),"")</f>
        <v>Apoio a Producao</v>
      </c>
      <c r="I14" t="str">
        <f>IFERROR(INDEX(Funcionarios!$C$3:$C$38,MATCH($A14,Funcionarios!$B$3:$B$38,0)),"")</f>
        <v>Servente de Obras</v>
      </c>
    </row>
    <row r="15" spans="1:9" x14ac:dyDescent="0.3">
      <c r="A15" t="s">
        <v>99</v>
      </c>
      <c r="B15">
        <v>220</v>
      </c>
      <c r="C15">
        <v>211.41</v>
      </c>
      <c r="D15">
        <v>8.59</v>
      </c>
      <c r="E15">
        <v>3.9E-2</v>
      </c>
      <c r="F15" t="s">
        <v>216</v>
      </c>
      <c r="G15">
        <f>IFERROR(INDEX(Funcionarios!$A$3:$A$38,MATCH($A15,Funcionarios!$B$3:$B$38,0)),"")</f>
        <v>228</v>
      </c>
      <c r="H15" t="str">
        <f>IFERROR(INDEX(Funcionarios!$G$3:$G$38,MATCH($A15,Funcionarios!$B$3:$B$38,0)),"")</f>
        <v>Pre-Moldados</v>
      </c>
      <c r="I15" t="str">
        <f>IFERROR(INDEX(Funcionarios!$C$3:$C$38,MATCH($A15,Funcionarios!$B$3:$B$38,0)),"")</f>
        <v>Soldador</v>
      </c>
    </row>
    <row r="16" spans="1:9" x14ac:dyDescent="0.3">
      <c r="A16" t="s">
        <v>103</v>
      </c>
      <c r="B16">
        <v>220</v>
      </c>
      <c r="C16">
        <v>220</v>
      </c>
      <c r="D16">
        <v>0</v>
      </c>
      <c r="E16">
        <v>0</v>
      </c>
      <c r="F16" t="s">
        <v>216</v>
      </c>
      <c r="G16">
        <f>IFERROR(INDEX(Funcionarios!$A$3:$A$38,MATCH($A16,Funcionarios!$B$3:$B$38,0)),"")</f>
        <v>253</v>
      </c>
      <c r="H16" t="str">
        <f>IFERROR(INDEX(Funcionarios!$G$3:$G$38,MATCH($A16,Funcionarios!$B$3:$B$38,0)),"")</f>
        <v>ACME_ADM DA FABRICA</v>
      </c>
      <c r="I16" t="str">
        <f>IFERROR(INDEX(Funcionarios!$C$3:$C$38,MATCH($A16,Funcionarios!$B$3:$B$38,0)),"")</f>
        <v>Gerente Administrativo</v>
      </c>
    </row>
    <row r="17" spans="1:9" x14ac:dyDescent="0.3">
      <c r="A17" t="s">
        <v>106</v>
      </c>
      <c r="B17">
        <v>220</v>
      </c>
      <c r="C17">
        <v>209.41</v>
      </c>
      <c r="D17">
        <v>10.59</v>
      </c>
      <c r="E17">
        <v>4.8099999999999997E-2</v>
      </c>
      <c r="F17" t="s">
        <v>216</v>
      </c>
      <c r="G17">
        <f>IFERROR(INDEX(Funcionarios!$A$3:$A$38,MATCH($A17,Funcionarios!$B$3:$B$38,0)),"")</f>
        <v>121</v>
      </c>
      <c r="H17" t="str">
        <f>IFERROR(INDEX(Funcionarios!$G$3:$G$38,MATCH($A17,Funcionarios!$B$3:$B$38,0)),"")</f>
        <v>Apoio a Producao</v>
      </c>
      <c r="I17" t="str">
        <f>IFERROR(INDEX(Funcionarios!$C$3:$C$38,MATCH($A17,Funcionarios!$B$3:$B$38,0)),"")</f>
        <v>Almoxarife</v>
      </c>
    </row>
    <row r="18" spans="1:9" x14ac:dyDescent="0.3">
      <c r="A18" t="s">
        <v>110</v>
      </c>
      <c r="B18">
        <v>220</v>
      </c>
      <c r="C18">
        <v>220</v>
      </c>
      <c r="D18">
        <v>0</v>
      </c>
      <c r="E18">
        <v>0</v>
      </c>
      <c r="F18" t="s">
        <v>216</v>
      </c>
      <c r="G18">
        <f>IFERROR(INDEX(Funcionarios!$A$3:$A$38,MATCH($A18,Funcionarios!$B$3:$B$38,0)),"")</f>
        <v>235</v>
      </c>
      <c r="H18" t="str">
        <f>IFERROR(INDEX(Funcionarios!$G$3:$G$38,MATCH($A18,Funcionarios!$B$3:$B$38,0)),"")</f>
        <v>ACME_OPERACIONAL_DIARIA</v>
      </c>
      <c r="I18" t="str">
        <f>IFERROR(INDEX(Funcionarios!$C$3:$C$38,MATCH($A18,Funcionarios!$B$3:$B$38,0)),"")</f>
        <v>Auxiliar de Producao</v>
      </c>
    </row>
    <row r="19" spans="1:9" x14ac:dyDescent="0.3">
      <c r="A19" t="s">
        <v>113</v>
      </c>
      <c r="B19">
        <v>220</v>
      </c>
      <c r="C19">
        <v>208.57</v>
      </c>
      <c r="D19">
        <v>11.43</v>
      </c>
      <c r="E19">
        <v>5.1999999999999998E-2</v>
      </c>
      <c r="F19" t="s">
        <v>216</v>
      </c>
      <c r="G19">
        <f>IFERROR(INDEX(Funcionarios!$A$3:$A$38,MATCH($A19,Funcionarios!$B$3:$B$38,0)),"")</f>
        <v>130</v>
      </c>
      <c r="H19" t="str">
        <f>IFERROR(INDEX(Funcionarios!$G$3:$G$38,MATCH($A19,Funcionarios!$B$3:$B$38,0)),"")</f>
        <v>Operacional</v>
      </c>
      <c r="I19" t="str">
        <f>IFERROR(INDEX(Funcionarios!$C$3:$C$38,MATCH($A19,Funcionarios!$B$3:$B$38,0)),"")</f>
        <v>Servente de Obras</v>
      </c>
    </row>
    <row r="20" spans="1:9" x14ac:dyDescent="0.3">
      <c r="A20" t="s">
        <v>116</v>
      </c>
      <c r="B20">
        <v>220</v>
      </c>
      <c r="C20">
        <v>220</v>
      </c>
      <c r="D20">
        <v>0</v>
      </c>
      <c r="E20">
        <v>0</v>
      </c>
      <c r="F20" t="s">
        <v>216</v>
      </c>
      <c r="G20">
        <f>IFERROR(INDEX(Funcionarios!$A$3:$A$38,MATCH($A20,Funcionarios!$B$3:$B$38,0)),"")</f>
        <v>158</v>
      </c>
      <c r="H20" t="str">
        <f>IFERROR(INDEX(Funcionarios!$G$3:$G$38,MATCH($A20,Funcionarios!$B$3:$B$38,0)),"")</f>
        <v>ACME_ADM DA FABRICA</v>
      </c>
      <c r="I20" t="str">
        <f>IFERROR(INDEX(Funcionarios!$C$3:$C$38,MATCH($A20,Funcionarios!$B$3:$B$38,0)),"")</f>
        <v>Supervisor de Producao</v>
      </c>
    </row>
    <row r="21" spans="1:9" x14ac:dyDescent="0.3">
      <c r="A21" t="s">
        <v>119</v>
      </c>
      <c r="B21">
        <v>220</v>
      </c>
      <c r="C21">
        <v>220</v>
      </c>
      <c r="D21">
        <v>0</v>
      </c>
      <c r="E21">
        <v>0</v>
      </c>
      <c r="F21" t="s">
        <v>216</v>
      </c>
      <c r="G21">
        <f>IFERROR(INDEX(Funcionarios!$A$3:$A$38,MATCH($A21,Funcionarios!$B$3:$B$38,0)),"")</f>
        <v>162</v>
      </c>
      <c r="H21" t="str">
        <f>IFERROR(INDEX(Funcionarios!$G$3:$G$38,MATCH($A21,Funcionarios!$B$3:$B$38,0)),"")</f>
        <v>ACME_DP/RH</v>
      </c>
      <c r="I21" t="str">
        <f>IFERROR(INDEX(Funcionarios!$C$3:$C$38,MATCH($A21,Funcionarios!$B$3:$B$38,0)),"")</f>
        <v>Assistente Administrativo</v>
      </c>
    </row>
    <row r="22" spans="1:9" x14ac:dyDescent="0.3">
      <c r="A22" t="s">
        <v>124</v>
      </c>
      <c r="B22">
        <v>220</v>
      </c>
      <c r="C22">
        <v>220</v>
      </c>
      <c r="D22">
        <v>0</v>
      </c>
      <c r="E22">
        <v>0</v>
      </c>
      <c r="F22" t="s">
        <v>216</v>
      </c>
      <c r="G22">
        <f>IFERROR(INDEX(Funcionarios!$A$3:$A$38,MATCH($A22,Funcionarios!$B$3:$B$38,0)),"")</f>
        <v>272</v>
      </c>
      <c r="H22" t="str">
        <f>IFERROR(INDEX(Funcionarios!$G$3:$G$38,MATCH($A22,Funcionarios!$B$3:$B$38,0)),"")</f>
        <v>Administracao - Fabrica</v>
      </c>
      <c r="I22" t="str">
        <f>IFERROR(INDEX(Funcionarios!$C$3:$C$38,MATCH($A22,Funcionarios!$B$3:$B$38,0)),"")</f>
        <v>Auxiliar Administrativo</v>
      </c>
    </row>
    <row r="23" spans="1:9" x14ac:dyDescent="0.3">
      <c r="A23" t="s">
        <v>127</v>
      </c>
      <c r="B23">
        <v>220</v>
      </c>
      <c r="C23">
        <v>220</v>
      </c>
      <c r="D23">
        <v>0</v>
      </c>
      <c r="E23">
        <v>0</v>
      </c>
      <c r="F23" t="s">
        <v>216</v>
      </c>
      <c r="G23">
        <f>IFERROR(INDEX(Funcionarios!$A$3:$A$38,MATCH($A23,Funcionarios!$B$3:$B$38,0)),"")</f>
        <v>208</v>
      </c>
      <c r="H23" t="str">
        <f>IFERROR(INDEX(Funcionarios!$G$3:$G$38,MATCH($A23,Funcionarios!$B$3:$B$38,0)),"")</f>
        <v>Administracao - Fabrica</v>
      </c>
      <c r="I23" t="str">
        <f>IFERROR(INDEX(Funcionarios!$C$3:$C$38,MATCH($A23,Funcionarios!$B$3:$B$38,0)),"")</f>
        <v>Auxiliar de Almoxarifado</v>
      </c>
    </row>
    <row r="24" spans="1:9" x14ac:dyDescent="0.3">
      <c r="A24" t="s">
        <v>131</v>
      </c>
      <c r="B24">
        <v>220</v>
      </c>
      <c r="C24">
        <v>214.82</v>
      </c>
      <c r="D24">
        <v>5.18</v>
      </c>
      <c r="E24">
        <v>2.35E-2</v>
      </c>
      <c r="F24" t="s">
        <v>216</v>
      </c>
      <c r="G24">
        <f>IFERROR(INDEX(Funcionarios!$A$3:$A$38,MATCH($A24,Funcionarios!$B$3:$B$38,0)),"")</f>
        <v>112</v>
      </c>
      <c r="H24" t="str">
        <f>IFERROR(INDEX(Funcionarios!$G$3:$G$38,MATCH($A24,Funcionarios!$B$3:$B$38,0)),"")</f>
        <v>ACME_PRODUCAO</v>
      </c>
      <c r="I24" t="str">
        <f>IFERROR(INDEX(Funcionarios!$C$3:$C$38,MATCH($A24,Funcionarios!$B$3:$B$38,0)),"")</f>
        <v>Soldador</v>
      </c>
    </row>
    <row r="25" spans="1:9" x14ac:dyDescent="0.3">
      <c r="A25" t="s">
        <v>135</v>
      </c>
      <c r="B25">
        <v>220</v>
      </c>
      <c r="C25">
        <v>220</v>
      </c>
      <c r="D25">
        <v>0</v>
      </c>
      <c r="E25">
        <v>0</v>
      </c>
      <c r="F25" t="s">
        <v>216</v>
      </c>
      <c r="G25">
        <f>IFERROR(INDEX(Funcionarios!$A$3:$A$38,MATCH($A25,Funcionarios!$B$3:$B$38,0)),"")</f>
        <v>197</v>
      </c>
      <c r="H25" t="str">
        <f>IFERROR(INDEX(Funcionarios!$G$3:$G$38,MATCH($A25,Funcionarios!$B$3:$B$38,0)),"")</f>
        <v>Pre-Moldados</v>
      </c>
      <c r="I25" t="str">
        <f>IFERROR(INDEX(Funcionarios!$C$3:$C$38,MATCH($A25,Funcionarios!$B$3:$B$38,0)),"")</f>
        <v>Auxiliar de Producao</v>
      </c>
    </row>
    <row r="26" spans="1:9" x14ac:dyDescent="0.3">
      <c r="A26" t="s">
        <v>138</v>
      </c>
      <c r="B26">
        <v>220</v>
      </c>
      <c r="C26">
        <v>217.65</v>
      </c>
      <c r="D26">
        <v>2.35</v>
      </c>
      <c r="E26">
        <v>1.0699999999999999E-2</v>
      </c>
      <c r="F26" t="s">
        <v>216</v>
      </c>
      <c r="G26">
        <f>IFERROR(INDEX(Funcionarios!$A$3:$A$38,MATCH($A26,Funcionarios!$B$3:$B$38,0)),"")</f>
        <v>248</v>
      </c>
      <c r="H26" t="str">
        <f>IFERROR(INDEX(Funcionarios!$G$3:$G$38,MATCH($A26,Funcionarios!$B$3:$B$38,0)),"")</f>
        <v>Pre-Moldados</v>
      </c>
      <c r="I26" t="str">
        <f>IFERROR(INDEX(Funcionarios!$C$3:$C$38,MATCH($A26,Funcionarios!$B$3:$B$38,0)),"")</f>
        <v>Soldador</v>
      </c>
    </row>
    <row r="27" spans="1:9" x14ac:dyDescent="0.3">
      <c r="A27" t="s">
        <v>141</v>
      </c>
      <c r="B27">
        <v>220</v>
      </c>
      <c r="C27">
        <v>211.33</v>
      </c>
      <c r="D27">
        <v>8.67</v>
      </c>
      <c r="E27">
        <v>3.9399999999999998E-2</v>
      </c>
      <c r="F27" t="s">
        <v>216</v>
      </c>
      <c r="G27">
        <f>IFERROR(INDEX(Funcionarios!$A$3:$A$38,MATCH($A27,Funcionarios!$B$3:$B$38,0)),"")</f>
        <v>117</v>
      </c>
      <c r="H27" t="str">
        <f>IFERROR(INDEX(Funcionarios!$G$3:$G$38,MATCH($A27,Funcionarios!$B$3:$B$38,0)),"")</f>
        <v>Operacional</v>
      </c>
      <c r="I27" t="str">
        <f>IFERROR(INDEX(Funcionarios!$C$3:$C$38,MATCH($A27,Funcionarios!$B$3:$B$38,0)),"")</f>
        <v>Pedreiro</v>
      </c>
    </row>
    <row r="28" spans="1:9" x14ac:dyDescent="0.3">
      <c r="A28" t="s">
        <v>145</v>
      </c>
      <c r="B28">
        <v>220</v>
      </c>
      <c r="C28">
        <v>213.35</v>
      </c>
      <c r="D28">
        <v>6.65</v>
      </c>
      <c r="E28">
        <v>3.0200000000000001E-2</v>
      </c>
      <c r="F28" t="s">
        <v>216</v>
      </c>
      <c r="G28">
        <f>IFERROR(INDEX(Funcionarios!$A$3:$A$38,MATCH($A28,Funcionarios!$B$3:$B$38,0)),"")</f>
        <v>166</v>
      </c>
      <c r="H28" t="str">
        <f>IFERROR(INDEX(Funcionarios!$G$3:$G$38,MATCH($A28,Funcionarios!$B$3:$B$38,0)),"")</f>
        <v>Apoio a Producao</v>
      </c>
      <c r="I28" t="str">
        <f>IFERROR(INDEX(Funcionarios!$C$3:$C$38,MATCH($A28,Funcionarios!$B$3:$B$38,0)),"")</f>
        <v>Almoxarife</v>
      </c>
    </row>
    <row r="29" spans="1:9" x14ac:dyDescent="0.3">
      <c r="A29" t="s">
        <v>148</v>
      </c>
      <c r="B29">
        <v>220</v>
      </c>
      <c r="C29">
        <v>220</v>
      </c>
      <c r="D29">
        <v>0</v>
      </c>
      <c r="E29">
        <v>0</v>
      </c>
      <c r="F29" t="s">
        <v>216</v>
      </c>
      <c r="G29">
        <f>IFERROR(INDEX(Funcionarios!$A$3:$A$38,MATCH($A29,Funcionarios!$B$3:$B$38,0)),"")</f>
        <v>102</v>
      </c>
      <c r="H29" t="str">
        <f>IFERROR(INDEX(Funcionarios!$G$3:$G$38,MATCH($A29,Funcionarios!$B$3:$B$38,0)),"")</f>
        <v>Pre-Moldados</v>
      </c>
      <c r="I29" t="str">
        <f>IFERROR(INDEX(Funcionarios!$C$3:$C$38,MATCH($A29,Funcionarios!$B$3:$B$38,0)),"")</f>
        <v>Supervisor de Producao</v>
      </c>
    </row>
    <row r="30" spans="1:9" x14ac:dyDescent="0.3">
      <c r="A30" t="s">
        <v>151</v>
      </c>
      <c r="B30">
        <v>220</v>
      </c>
      <c r="C30">
        <v>216.02</v>
      </c>
      <c r="D30">
        <v>3.98</v>
      </c>
      <c r="E30">
        <v>1.8100000000000002E-2</v>
      </c>
      <c r="F30" t="s">
        <v>216</v>
      </c>
      <c r="G30">
        <f>IFERROR(INDEX(Funcionarios!$A$3:$A$38,MATCH($A30,Funcionarios!$B$3:$B$38,0)),"")</f>
        <v>194</v>
      </c>
      <c r="H30" t="str">
        <f>IFERROR(INDEX(Funcionarios!$G$3:$G$38,MATCH($A30,Funcionarios!$B$3:$B$38,0)),"")</f>
        <v>Pre-Moldados</v>
      </c>
      <c r="I30" t="str">
        <f>IFERROR(INDEX(Funcionarios!$C$3:$C$38,MATCH($A30,Funcionarios!$B$3:$B$38,0)),"")</f>
        <v>Operador de Maquinas</v>
      </c>
    </row>
    <row r="31" spans="1:9" x14ac:dyDescent="0.3">
      <c r="A31" t="s">
        <v>154</v>
      </c>
      <c r="B31">
        <v>220</v>
      </c>
      <c r="C31">
        <v>220</v>
      </c>
      <c r="D31">
        <v>0</v>
      </c>
      <c r="E31">
        <v>0</v>
      </c>
      <c r="F31" t="s">
        <v>216</v>
      </c>
      <c r="G31">
        <f>IFERROR(INDEX(Funcionarios!$A$3:$A$38,MATCH($A31,Funcionarios!$B$3:$B$38,0)),"")</f>
        <v>134</v>
      </c>
      <c r="H31" t="str">
        <f>IFERROR(INDEX(Funcionarios!$G$3:$G$38,MATCH($A31,Funcionarios!$B$3:$B$38,0)),"")</f>
        <v>Operacional</v>
      </c>
      <c r="I31" t="str">
        <f>IFERROR(INDEX(Funcionarios!$C$3:$C$38,MATCH($A31,Funcionarios!$B$3:$B$38,0)),"")</f>
        <v>Operador de Maquinas</v>
      </c>
    </row>
    <row r="32" spans="1:9" x14ac:dyDescent="0.3">
      <c r="A32" t="s">
        <v>157</v>
      </c>
      <c r="B32">
        <v>220</v>
      </c>
      <c r="C32">
        <v>220</v>
      </c>
      <c r="D32">
        <v>0</v>
      </c>
      <c r="E32">
        <v>0</v>
      </c>
      <c r="F32" t="s">
        <v>216</v>
      </c>
      <c r="G32">
        <f>IFERROR(INDEX(Funcionarios!$A$3:$A$38,MATCH($A32,Funcionarios!$B$3:$B$38,0)),"")</f>
        <v>229</v>
      </c>
      <c r="H32" t="str">
        <f>IFERROR(INDEX(Funcionarios!$G$3:$G$38,MATCH($A32,Funcionarios!$B$3:$B$38,0)),"")</f>
        <v>ACME_ADM DA FABRICA</v>
      </c>
      <c r="I32" t="str">
        <f>IFERROR(INDEX(Funcionarios!$C$3:$C$38,MATCH($A32,Funcionarios!$B$3:$B$38,0)),"")</f>
        <v>Gerente Administrativo</v>
      </c>
    </row>
    <row r="33" spans="1:9" x14ac:dyDescent="0.3">
      <c r="A33" t="s">
        <v>160</v>
      </c>
      <c r="B33">
        <v>220</v>
      </c>
      <c r="C33">
        <v>208.18</v>
      </c>
      <c r="D33">
        <v>11.82</v>
      </c>
      <c r="E33">
        <v>5.3699999999999998E-2</v>
      </c>
      <c r="F33" t="s">
        <v>216</v>
      </c>
      <c r="G33">
        <f>IFERROR(INDEX(Funcionarios!$A$3:$A$38,MATCH($A33,Funcionarios!$B$3:$B$38,0)),"")</f>
        <v>141</v>
      </c>
      <c r="H33" t="str">
        <f>IFERROR(INDEX(Funcionarios!$G$3:$G$38,MATCH($A33,Funcionarios!$B$3:$B$38,0)),"")</f>
        <v>Administracao - Fabrica</v>
      </c>
      <c r="I33" t="str">
        <f>IFERROR(INDEX(Funcionarios!$C$3:$C$38,MATCH($A33,Funcionarios!$B$3:$B$38,0)),"")</f>
        <v>Assistente Administrativo</v>
      </c>
    </row>
    <row r="34" spans="1:9" x14ac:dyDescent="0.3">
      <c r="A34" t="s">
        <v>163</v>
      </c>
      <c r="B34">
        <v>220</v>
      </c>
      <c r="C34">
        <v>220</v>
      </c>
      <c r="D34">
        <v>0</v>
      </c>
      <c r="E34">
        <v>0</v>
      </c>
      <c r="F34" t="s">
        <v>216</v>
      </c>
      <c r="G34">
        <f>IFERROR(INDEX(Funcionarios!$A$3:$A$38,MATCH($A34,Funcionarios!$B$3:$B$38,0)),"")</f>
        <v>239</v>
      </c>
      <c r="H34" t="str">
        <f>IFERROR(INDEX(Funcionarios!$G$3:$G$38,MATCH($A34,Funcionarios!$B$3:$B$38,0)),"")</f>
        <v>Administracao - Escritorio</v>
      </c>
      <c r="I34" t="str">
        <f>IFERROR(INDEX(Funcionarios!$C$3:$C$38,MATCH($A34,Funcionarios!$B$3:$B$38,0)),"")</f>
        <v>Assistente Administrativo</v>
      </c>
    </row>
    <row r="35" spans="1:9" x14ac:dyDescent="0.3">
      <c r="A35" t="s">
        <v>168</v>
      </c>
      <c r="B35">
        <v>220</v>
      </c>
      <c r="C35">
        <v>220</v>
      </c>
      <c r="D35">
        <v>0</v>
      </c>
      <c r="E35">
        <v>0</v>
      </c>
      <c r="F35" t="s">
        <v>216</v>
      </c>
      <c r="G35">
        <f>IFERROR(INDEX(Funcionarios!$A$3:$A$38,MATCH($A35,Funcionarios!$B$3:$B$38,0)),"")</f>
        <v>191</v>
      </c>
      <c r="H35" t="str">
        <f>IFERROR(INDEX(Funcionarios!$G$3:$G$38,MATCH($A35,Funcionarios!$B$3:$B$38,0)),"")</f>
        <v>Pre-Moldados</v>
      </c>
      <c r="I35" t="str">
        <f>IFERROR(INDEX(Funcionarios!$C$3:$C$38,MATCH($A35,Funcionarios!$B$3:$B$38,0)),"")</f>
        <v>Auxiliar de Producao</v>
      </c>
    </row>
    <row r="36" spans="1:9" x14ac:dyDescent="0.3">
      <c r="A36" t="s">
        <v>171</v>
      </c>
      <c r="B36">
        <v>220</v>
      </c>
      <c r="C36">
        <v>216.81</v>
      </c>
      <c r="D36">
        <v>3.19</v>
      </c>
      <c r="E36">
        <v>1.4500000000000001E-2</v>
      </c>
      <c r="F36" t="s">
        <v>216</v>
      </c>
      <c r="G36">
        <f>IFERROR(INDEX(Funcionarios!$A$3:$A$38,MATCH($A36,Funcionarios!$B$3:$B$38,0)),"")</f>
        <v>145</v>
      </c>
      <c r="H36" t="str">
        <f>IFERROR(INDEX(Funcionarios!$G$3:$G$38,MATCH($A36,Funcionarios!$B$3:$B$38,0)),"")</f>
        <v>ACME_OPERACIONAL_DIARIA</v>
      </c>
      <c r="I36" t="str">
        <f>IFERROR(INDEX(Funcionarios!$C$3:$C$38,MATCH($A36,Funcionarios!$B$3:$B$38,0)),"")</f>
        <v>Auxiliar de Producao</v>
      </c>
    </row>
    <row r="37" spans="1:9" x14ac:dyDescent="0.3">
      <c r="A37" t="s">
        <v>174</v>
      </c>
      <c r="B37">
        <v>220</v>
      </c>
      <c r="C37">
        <v>210.65</v>
      </c>
      <c r="D37">
        <v>9.35</v>
      </c>
      <c r="E37">
        <v>4.2500000000000003E-2</v>
      </c>
      <c r="F37" t="s">
        <v>216</v>
      </c>
      <c r="G37">
        <f>IFERROR(INDEX(Funcionarios!$A$3:$A$38,MATCH($A37,Funcionarios!$B$3:$B$38,0)),"")</f>
        <v>140</v>
      </c>
      <c r="H37" t="str">
        <f>IFERROR(INDEX(Funcionarios!$G$3:$G$38,MATCH($A37,Funcionarios!$B$3:$B$38,0)),"")</f>
        <v>ACME_DP/RH</v>
      </c>
      <c r="I37" t="str">
        <f>IFERROR(INDEX(Funcionarios!$C$3:$C$38,MATCH($A37,Funcionarios!$B$3:$B$38,0)),"")</f>
        <v>Assistente Administrativo</v>
      </c>
    </row>
    <row r="38" spans="1:9" x14ac:dyDescent="0.3">
      <c r="A38" t="s">
        <v>177</v>
      </c>
      <c r="B38">
        <v>220</v>
      </c>
      <c r="C38">
        <v>218.45</v>
      </c>
      <c r="D38">
        <v>1.55</v>
      </c>
      <c r="E38">
        <v>7.0000000000000001E-3</v>
      </c>
      <c r="F38" t="s">
        <v>216</v>
      </c>
      <c r="G38">
        <f>IFERROR(INDEX(Funcionarios!$A$3:$A$38,MATCH($A38,Funcionarios!$B$3:$B$38,0)),"")</f>
        <v>106</v>
      </c>
      <c r="H38" t="str">
        <f>IFERROR(INDEX(Funcionarios!$G$3:$G$38,MATCH($A38,Funcionarios!$B$3:$B$38,0)),"")</f>
        <v>ACME_ADM DA FABRICA</v>
      </c>
      <c r="I38" t="str">
        <f>IFERROR(INDEX(Funcionarios!$C$3:$C$38,MATCH($A38,Funcionarios!$B$3:$B$38,0)),"")</f>
        <v>Assistente Administrativo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8" customWidth="1"/>
    <col min="4" max="4" width="34" customWidth="1"/>
    <col min="5" max="5" width="10" customWidth="1"/>
    <col min="6" max="6" width="18" customWidth="1"/>
    <col min="7" max="7" width="12" customWidth="1"/>
    <col min="8" max="8" width="14" customWidth="1"/>
    <col min="9" max="9" width="8" customWidth="1"/>
    <col min="10" max="10" width="12" customWidth="1"/>
    <col min="11" max="11" width="8" customWidth="1"/>
  </cols>
  <sheetData>
    <row r="1" spans="1:11" ht="15.6" customHeight="1" x14ac:dyDescent="0.3">
      <c r="A1" s="7" t="s">
        <v>217</v>
      </c>
    </row>
    <row r="2" spans="1:11" x14ac:dyDescent="0.3">
      <c r="A2" s="10" t="s">
        <v>181</v>
      </c>
      <c r="B2" s="10" t="s">
        <v>7</v>
      </c>
      <c r="C2" s="10" t="s">
        <v>42</v>
      </c>
      <c r="D2" s="10" t="s">
        <v>3</v>
      </c>
      <c r="E2" s="10" t="s">
        <v>192</v>
      </c>
      <c r="F2" s="10" t="s">
        <v>193</v>
      </c>
      <c r="G2" s="10" t="s">
        <v>194</v>
      </c>
      <c r="H2" s="10" t="s">
        <v>195</v>
      </c>
      <c r="I2" s="10" t="s">
        <v>196</v>
      </c>
      <c r="J2" s="10" t="s">
        <v>197</v>
      </c>
      <c r="K2" s="10" t="s">
        <v>198</v>
      </c>
    </row>
    <row r="3" spans="1:11" x14ac:dyDescent="0.3">
      <c r="A3">
        <v>2</v>
      </c>
      <c r="B3" t="s">
        <v>55</v>
      </c>
      <c r="C3">
        <v>194</v>
      </c>
      <c r="D3" t="s">
        <v>151</v>
      </c>
      <c r="E3">
        <v>40</v>
      </c>
      <c r="F3" t="s">
        <v>218</v>
      </c>
      <c r="G3" t="s">
        <v>200</v>
      </c>
      <c r="H3">
        <v>62.73</v>
      </c>
      <c r="I3">
        <v>5.91</v>
      </c>
      <c r="J3" t="s">
        <v>219</v>
      </c>
      <c r="K3" t="s">
        <v>196</v>
      </c>
    </row>
    <row r="4" spans="1:11" x14ac:dyDescent="0.3">
      <c r="A4">
        <v>3</v>
      </c>
      <c r="B4" t="s">
        <v>61</v>
      </c>
      <c r="C4">
        <v>130</v>
      </c>
      <c r="D4" t="s">
        <v>113</v>
      </c>
      <c r="E4">
        <v>40</v>
      </c>
      <c r="F4" t="s">
        <v>218</v>
      </c>
      <c r="G4" t="s">
        <v>200</v>
      </c>
      <c r="H4">
        <v>51.31</v>
      </c>
      <c r="I4">
        <v>7.95</v>
      </c>
      <c r="J4" t="s">
        <v>219</v>
      </c>
      <c r="K4" t="s">
        <v>196</v>
      </c>
    </row>
    <row r="5" spans="1:11" x14ac:dyDescent="0.3">
      <c r="A5">
        <v>6</v>
      </c>
      <c r="B5" t="s">
        <v>97</v>
      </c>
      <c r="C5">
        <v>166</v>
      </c>
      <c r="D5" t="s">
        <v>145</v>
      </c>
      <c r="E5">
        <v>40</v>
      </c>
      <c r="F5" t="s">
        <v>218</v>
      </c>
      <c r="G5" t="s">
        <v>200</v>
      </c>
      <c r="H5">
        <v>61.53</v>
      </c>
      <c r="I5">
        <v>5.76</v>
      </c>
      <c r="J5" t="s">
        <v>219</v>
      </c>
      <c r="K5" t="s">
        <v>196</v>
      </c>
    </row>
    <row r="6" spans="1:11" x14ac:dyDescent="0.3">
      <c r="A6">
        <v>1</v>
      </c>
      <c r="B6" t="s">
        <v>48</v>
      </c>
      <c r="C6">
        <v>192</v>
      </c>
      <c r="D6" t="s">
        <v>89</v>
      </c>
      <c r="E6">
        <v>40</v>
      </c>
      <c r="F6" t="s">
        <v>220</v>
      </c>
      <c r="G6" t="s">
        <v>200</v>
      </c>
      <c r="H6">
        <v>92.73</v>
      </c>
      <c r="I6">
        <v>10.88</v>
      </c>
      <c r="J6" t="s">
        <v>219</v>
      </c>
      <c r="K6" t="s">
        <v>196</v>
      </c>
    </row>
    <row r="7" spans="1:11" x14ac:dyDescent="0.3">
      <c r="A7">
        <v>9</v>
      </c>
      <c r="B7" t="s">
        <v>165</v>
      </c>
      <c r="C7">
        <v>239</v>
      </c>
      <c r="D7" t="s">
        <v>163</v>
      </c>
      <c r="E7">
        <v>40</v>
      </c>
      <c r="F7" t="s">
        <v>218</v>
      </c>
      <c r="G7" t="s">
        <v>200</v>
      </c>
      <c r="H7">
        <v>33</v>
      </c>
      <c r="I7">
        <v>3.17</v>
      </c>
      <c r="J7" t="s">
        <v>219</v>
      </c>
      <c r="K7" t="s">
        <v>196</v>
      </c>
    </row>
    <row r="8" spans="1:11" x14ac:dyDescent="0.3">
      <c r="A8">
        <v>2</v>
      </c>
      <c r="B8" t="s">
        <v>55</v>
      </c>
      <c r="C8">
        <v>197</v>
      </c>
      <c r="D8" t="s">
        <v>135</v>
      </c>
      <c r="E8">
        <v>40</v>
      </c>
      <c r="F8" t="s">
        <v>218</v>
      </c>
      <c r="G8" t="s">
        <v>200</v>
      </c>
      <c r="H8">
        <v>20.239999999999998</v>
      </c>
      <c r="I8">
        <v>2.93</v>
      </c>
      <c r="J8" t="s">
        <v>219</v>
      </c>
      <c r="K8" t="s">
        <v>196</v>
      </c>
    </row>
    <row r="9" spans="1:11" x14ac:dyDescent="0.3">
      <c r="A9">
        <v>2</v>
      </c>
      <c r="B9" t="s">
        <v>55</v>
      </c>
      <c r="C9">
        <v>252</v>
      </c>
      <c r="D9" t="s">
        <v>92</v>
      </c>
      <c r="E9">
        <v>40</v>
      </c>
      <c r="F9" t="s">
        <v>220</v>
      </c>
      <c r="G9" t="s">
        <v>200</v>
      </c>
      <c r="H9">
        <v>195.47</v>
      </c>
      <c r="I9">
        <v>8.35</v>
      </c>
      <c r="J9" t="s">
        <v>219</v>
      </c>
      <c r="K9" t="s">
        <v>196</v>
      </c>
    </row>
    <row r="10" spans="1:11" x14ac:dyDescent="0.3">
      <c r="A10">
        <v>3</v>
      </c>
      <c r="B10" t="s">
        <v>61</v>
      </c>
      <c r="C10">
        <v>294</v>
      </c>
      <c r="D10" t="s">
        <v>58</v>
      </c>
      <c r="E10">
        <v>40</v>
      </c>
      <c r="F10" t="s">
        <v>220</v>
      </c>
      <c r="G10" t="s">
        <v>200</v>
      </c>
      <c r="H10">
        <v>136.04</v>
      </c>
      <c r="I10">
        <v>15.92</v>
      </c>
      <c r="J10" t="s">
        <v>219</v>
      </c>
      <c r="K10" t="s">
        <v>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"/>
  <sheetViews>
    <sheetView workbookViewId="0"/>
  </sheetViews>
  <sheetFormatPr defaultRowHeight="14.4" x14ac:dyDescent="0.3"/>
  <cols>
    <col min="1" max="1" width="8" customWidth="1"/>
    <col min="2" max="2" width="34" customWidth="1"/>
    <col min="3" max="6" width="12" customWidth="1"/>
    <col min="7" max="7" width="10" customWidth="1"/>
    <col min="8" max="10" width="12" customWidth="1"/>
    <col min="11" max="11" width="16" customWidth="1"/>
    <col min="12" max="12" width="30" customWidth="1"/>
    <col min="13" max="13" width="22" customWidth="1"/>
    <col min="14" max="14" width="20" customWidth="1"/>
  </cols>
  <sheetData>
    <row r="1" spans="1:14" ht="15.6" customHeight="1" x14ac:dyDescent="0.3">
      <c r="A1" s="7" t="s">
        <v>221</v>
      </c>
    </row>
    <row r="2" spans="1:14" x14ac:dyDescent="0.3">
      <c r="A2" s="10" t="s">
        <v>42</v>
      </c>
      <c r="B2" s="10" t="s">
        <v>222</v>
      </c>
      <c r="C2" s="10" t="s">
        <v>5</v>
      </c>
      <c r="D2" s="10" t="s">
        <v>223</v>
      </c>
      <c r="E2" s="10" t="s">
        <v>224</v>
      </c>
      <c r="F2" s="10" t="s">
        <v>225</v>
      </c>
      <c r="G2" s="10" t="s">
        <v>6</v>
      </c>
      <c r="H2" s="10" t="s">
        <v>226</v>
      </c>
      <c r="I2" s="10" t="s">
        <v>227</v>
      </c>
      <c r="J2" s="10" t="s">
        <v>228</v>
      </c>
      <c r="K2" s="10" t="s">
        <v>229</v>
      </c>
      <c r="L2" s="10" t="s">
        <v>230</v>
      </c>
      <c r="M2" s="10" t="s">
        <v>213</v>
      </c>
      <c r="N2" s="10" t="s">
        <v>185</v>
      </c>
    </row>
    <row r="3" spans="1:14" x14ac:dyDescent="0.3">
      <c r="A3">
        <v>158</v>
      </c>
      <c r="B3" t="s">
        <v>116</v>
      </c>
      <c r="C3" t="s">
        <v>117</v>
      </c>
      <c r="D3" t="s">
        <v>231</v>
      </c>
      <c r="E3" t="s">
        <v>232</v>
      </c>
      <c r="F3">
        <v>207.17</v>
      </c>
      <c r="G3">
        <v>4325</v>
      </c>
      <c r="H3">
        <v>2142.11</v>
      </c>
      <c r="I3">
        <v>727.97</v>
      </c>
      <c r="J3">
        <v>1414.14</v>
      </c>
      <c r="K3">
        <v>346</v>
      </c>
      <c r="L3" t="s">
        <v>233</v>
      </c>
      <c r="M3" t="str">
        <f>IFERROR(INDEX(Funcionarios!$G$3:$G$38,MATCH($A3,Funcionarios!$A$3:$A$38,0)),"")</f>
        <v>ACME_ADM DA FABRICA</v>
      </c>
      <c r="N3" t="str">
        <f>IFERROR(INDEX(Funcionarios!$C$3:$C$38,MATCH($A3,Funcionarios!$A$3:$A$38,0)),"")</f>
        <v>Supervisor de Producao</v>
      </c>
    </row>
    <row r="4" spans="1:14" x14ac:dyDescent="0.3">
      <c r="A4">
        <v>154</v>
      </c>
      <c r="B4" t="s">
        <v>86</v>
      </c>
      <c r="C4" t="s">
        <v>87</v>
      </c>
      <c r="D4" t="s">
        <v>234</v>
      </c>
      <c r="E4" t="s">
        <v>235</v>
      </c>
      <c r="F4">
        <v>136.75</v>
      </c>
      <c r="G4">
        <v>2400</v>
      </c>
      <c r="H4">
        <v>1380.05</v>
      </c>
      <c r="I4">
        <v>312.83999999999997</v>
      </c>
      <c r="J4">
        <v>1067.21</v>
      </c>
      <c r="K4">
        <v>192</v>
      </c>
      <c r="L4" t="s">
        <v>236</v>
      </c>
      <c r="M4" t="str">
        <f>IFERROR(INDEX(Funcionarios!$G$3:$G$38,MATCH($A4,Funcionarios!$A$3:$A$38,0)),"")</f>
        <v>Operacional</v>
      </c>
      <c r="N4" t="str">
        <f>IFERROR(INDEX(Funcionarios!$C$3:$C$38,MATCH($A4,Funcionarios!$A$3:$A$38,0)),"")</f>
        <v>Operador de Maquinas</v>
      </c>
    </row>
    <row r="5" spans="1:14" x14ac:dyDescent="0.3">
      <c r="A5">
        <v>294</v>
      </c>
      <c r="B5" t="s">
        <v>58</v>
      </c>
      <c r="C5" t="s">
        <v>60</v>
      </c>
      <c r="D5" t="s">
        <v>231</v>
      </c>
      <c r="E5" t="s">
        <v>232</v>
      </c>
      <c r="F5">
        <v>187.76</v>
      </c>
      <c r="G5">
        <v>1880</v>
      </c>
      <c r="H5">
        <v>853.21</v>
      </c>
      <c r="I5">
        <v>264.45999999999998</v>
      </c>
      <c r="J5">
        <v>588.75</v>
      </c>
      <c r="K5">
        <v>150.4</v>
      </c>
      <c r="L5" t="s">
        <v>233</v>
      </c>
      <c r="M5" t="str">
        <f>IFERROR(INDEX(Funcionarios!$G$3:$G$38,MATCH($A5,Funcionarios!$A$3:$A$38,0)),"")</f>
        <v>Operacional</v>
      </c>
      <c r="N5" t="str">
        <f>IFERROR(INDEX(Funcionarios!$C$3:$C$38,MATCH($A5,Funcionarios!$A$3:$A$38,0)),"")</f>
        <v>Operador de Maquinas</v>
      </c>
    </row>
    <row r="6" spans="1:14" x14ac:dyDescent="0.3">
      <c r="A6">
        <v>235</v>
      </c>
      <c r="B6" t="s">
        <v>110</v>
      </c>
      <c r="C6" t="s">
        <v>111</v>
      </c>
      <c r="D6" t="s">
        <v>237</v>
      </c>
      <c r="E6" t="s">
        <v>238</v>
      </c>
      <c r="F6">
        <v>214.58</v>
      </c>
      <c r="G6">
        <v>1740</v>
      </c>
      <c r="H6">
        <v>889.87</v>
      </c>
      <c r="I6">
        <v>237.65</v>
      </c>
      <c r="J6">
        <v>652.22</v>
      </c>
      <c r="K6">
        <v>139.19999999999999</v>
      </c>
      <c r="L6" t="s">
        <v>239</v>
      </c>
      <c r="M6" t="str">
        <f>IFERROR(INDEX(Funcionarios!$G$3:$G$38,MATCH($A6,Funcionarios!$A$3:$A$38,0)),"")</f>
        <v>ACME_OPERACIONAL_DIARIA</v>
      </c>
      <c r="N6" t="str">
        <f>IFERROR(INDEX(Funcionarios!$C$3:$C$38,MATCH($A6,Funcionarios!$A$3:$A$38,0)),"")</f>
        <v>Auxiliar de Producao</v>
      </c>
    </row>
    <row r="7" spans="1:14" x14ac:dyDescent="0.3">
      <c r="A7">
        <v>296</v>
      </c>
      <c r="B7" t="s">
        <v>82</v>
      </c>
      <c r="C7" t="s">
        <v>84</v>
      </c>
      <c r="D7" t="s">
        <v>240</v>
      </c>
      <c r="E7" t="s">
        <v>241</v>
      </c>
      <c r="F7">
        <v>292.58</v>
      </c>
      <c r="G7">
        <v>2050</v>
      </c>
      <c r="H7">
        <v>1202.28</v>
      </c>
      <c r="I7">
        <v>400.73</v>
      </c>
      <c r="J7">
        <v>801.55</v>
      </c>
      <c r="K7">
        <v>164</v>
      </c>
      <c r="L7" t="s">
        <v>242</v>
      </c>
      <c r="M7" t="str">
        <f>IFERROR(INDEX(Funcionarios!$G$3:$G$38,MATCH($A7,Funcionarios!$A$3:$A$38,0)),"")</f>
        <v>Administracao - Fabrica</v>
      </c>
      <c r="N7" t="str">
        <f>IFERROR(INDEX(Funcionarios!$C$3:$C$38,MATCH($A7,Funcionarios!$A$3:$A$38,0)),"")</f>
        <v>Auxiliar Administrativo</v>
      </c>
    </row>
    <row r="8" spans="1:14" x14ac:dyDescent="0.3">
      <c r="A8">
        <v>171</v>
      </c>
      <c r="B8" t="s">
        <v>75</v>
      </c>
      <c r="C8" t="s">
        <v>76</v>
      </c>
      <c r="D8" t="s">
        <v>238</v>
      </c>
      <c r="E8" t="s">
        <v>243</v>
      </c>
      <c r="F8">
        <v>258.07</v>
      </c>
      <c r="G8">
        <v>2360</v>
      </c>
      <c r="H8">
        <v>1641.64</v>
      </c>
      <c r="I8">
        <v>412.72</v>
      </c>
      <c r="J8">
        <v>1228.92</v>
      </c>
      <c r="K8">
        <v>188.8</v>
      </c>
      <c r="L8" t="s">
        <v>233</v>
      </c>
      <c r="M8" t="str">
        <f>IFERROR(INDEX(Funcionarios!$G$3:$G$38,MATCH($A8,Funcionarios!$A$3:$A$38,0)),"")</f>
        <v>Operacional</v>
      </c>
      <c r="N8" t="str">
        <f>IFERROR(INDEX(Funcionarios!$C$3:$C$38,MATCH($A8,Funcionarios!$A$3:$A$38,0)),"")</f>
        <v>Operador de Maquinas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8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10" customWidth="1"/>
    <col min="4" max="4" width="22" customWidth="1"/>
    <col min="5" max="5" width="10" customWidth="1"/>
    <col min="6" max="6" width="12" customWidth="1"/>
    <col min="7" max="8" width="14" customWidth="1"/>
    <col min="9" max="9" width="10" customWidth="1"/>
  </cols>
  <sheetData>
    <row r="1" spans="1:9" ht="15.6" customHeight="1" x14ac:dyDescent="0.3">
      <c r="A1" s="7" t="s">
        <v>244</v>
      </c>
    </row>
    <row r="2" spans="1:9" x14ac:dyDescent="0.3">
      <c r="A2" s="10" t="s">
        <v>181</v>
      </c>
      <c r="B2" s="10" t="s">
        <v>7</v>
      </c>
      <c r="C2" s="10" t="s">
        <v>192</v>
      </c>
      <c r="D2" s="10" t="s">
        <v>193</v>
      </c>
      <c r="E2" s="10" t="s">
        <v>211</v>
      </c>
      <c r="F2" s="10" t="s">
        <v>245</v>
      </c>
      <c r="G2" s="10" t="s">
        <v>246</v>
      </c>
      <c r="H2" s="10" t="s">
        <v>195</v>
      </c>
      <c r="I2" s="10" t="s">
        <v>184</v>
      </c>
    </row>
    <row r="3" spans="1:9" x14ac:dyDescent="0.3">
      <c r="A3">
        <v>1</v>
      </c>
      <c r="B3" t="s">
        <v>48</v>
      </c>
      <c r="C3">
        <v>1</v>
      </c>
      <c r="D3" t="s">
        <v>247</v>
      </c>
      <c r="E3" t="s">
        <v>248</v>
      </c>
      <c r="F3">
        <v>6</v>
      </c>
      <c r="G3">
        <v>9851.4</v>
      </c>
      <c r="H3">
        <v>9757.51</v>
      </c>
      <c r="I3" t="s">
        <v>202</v>
      </c>
    </row>
    <row r="4" spans="1:9" x14ac:dyDescent="0.3">
      <c r="A4">
        <v>1</v>
      </c>
      <c r="B4" t="s">
        <v>48</v>
      </c>
      <c r="C4">
        <v>2</v>
      </c>
      <c r="D4" t="s">
        <v>203</v>
      </c>
      <c r="E4" t="s">
        <v>248</v>
      </c>
      <c r="F4">
        <v>6</v>
      </c>
      <c r="G4">
        <v>757.8</v>
      </c>
      <c r="H4">
        <v>746.25</v>
      </c>
      <c r="I4" t="s">
        <v>202</v>
      </c>
    </row>
    <row r="5" spans="1:9" x14ac:dyDescent="0.3">
      <c r="A5">
        <v>1</v>
      </c>
      <c r="B5" t="s">
        <v>48</v>
      </c>
      <c r="C5">
        <v>3</v>
      </c>
      <c r="D5" t="s">
        <v>249</v>
      </c>
      <c r="E5" t="s">
        <v>248</v>
      </c>
      <c r="F5">
        <v>6</v>
      </c>
      <c r="G5">
        <v>378.9</v>
      </c>
      <c r="H5">
        <v>362.02</v>
      </c>
      <c r="I5" t="s">
        <v>202</v>
      </c>
    </row>
    <row r="6" spans="1:9" x14ac:dyDescent="0.3">
      <c r="A6">
        <v>1</v>
      </c>
      <c r="B6" t="s">
        <v>48</v>
      </c>
      <c r="C6">
        <v>4</v>
      </c>
      <c r="D6" t="s">
        <v>250</v>
      </c>
      <c r="E6" t="s">
        <v>248</v>
      </c>
      <c r="F6">
        <v>6</v>
      </c>
      <c r="G6">
        <v>252.6</v>
      </c>
      <c r="H6">
        <v>243.25</v>
      </c>
      <c r="I6" t="s">
        <v>202</v>
      </c>
    </row>
    <row r="7" spans="1:9" x14ac:dyDescent="0.3">
      <c r="A7">
        <v>1</v>
      </c>
      <c r="B7" t="s">
        <v>48</v>
      </c>
      <c r="C7">
        <v>5</v>
      </c>
      <c r="D7" t="s">
        <v>251</v>
      </c>
      <c r="E7" t="s">
        <v>252</v>
      </c>
      <c r="F7">
        <v>6</v>
      </c>
      <c r="G7">
        <v>1136.7</v>
      </c>
      <c r="H7">
        <v>1087.9000000000001</v>
      </c>
      <c r="I7" t="s">
        <v>202</v>
      </c>
    </row>
    <row r="8" spans="1:9" x14ac:dyDescent="0.3">
      <c r="A8">
        <v>1</v>
      </c>
      <c r="B8" t="s">
        <v>48</v>
      </c>
      <c r="C8">
        <v>6</v>
      </c>
      <c r="D8" t="s">
        <v>253</v>
      </c>
      <c r="E8" t="s">
        <v>252</v>
      </c>
      <c r="F8">
        <v>6</v>
      </c>
      <c r="G8">
        <v>505.2</v>
      </c>
      <c r="H8">
        <v>517.37</v>
      </c>
      <c r="I8" t="s">
        <v>202</v>
      </c>
    </row>
    <row r="9" spans="1:9" x14ac:dyDescent="0.3">
      <c r="A9">
        <v>1</v>
      </c>
      <c r="B9" t="s">
        <v>48</v>
      </c>
      <c r="C9">
        <v>7</v>
      </c>
      <c r="D9" t="s">
        <v>254</v>
      </c>
      <c r="E9" t="s">
        <v>252</v>
      </c>
      <c r="F9">
        <v>6</v>
      </c>
      <c r="G9">
        <v>252.6</v>
      </c>
      <c r="H9">
        <v>246.43</v>
      </c>
      <c r="I9" t="s">
        <v>202</v>
      </c>
    </row>
    <row r="10" spans="1:9" x14ac:dyDescent="0.3">
      <c r="A10">
        <v>1</v>
      </c>
      <c r="B10" t="s">
        <v>48</v>
      </c>
      <c r="C10">
        <v>8</v>
      </c>
      <c r="D10" t="s">
        <v>255</v>
      </c>
      <c r="E10" t="s">
        <v>252</v>
      </c>
      <c r="F10">
        <v>6</v>
      </c>
      <c r="G10">
        <v>189.45</v>
      </c>
      <c r="H10">
        <v>183.07</v>
      </c>
      <c r="I10" t="s">
        <v>202</v>
      </c>
    </row>
    <row r="11" spans="1:9" x14ac:dyDescent="0.3">
      <c r="A11">
        <v>1</v>
      </c>
      <c r="B11" t="s">
        <v>48</v>
      </c>
      <c r="C11">
        <v>2</v>
      </c>
      <c r="D11" t="s">
        <v>203</v>
      </c>
      <c r="E11" t="s">
        <v>248</v>
      </c>
      <c r="F11">
        <v>6</v>
      </c>
      <c r="G11">
        <v>90.94</v>
      </c>
      <c r="H11">
        <v>87.16</v>
      </c>
      <c r="I11" t="s">
        <v>190</v>
      </c>
    </row>
    <row r="12" spans="1:9" x14ac:dyDescent="0.3">
      <c r="A12">
        <v>1</v>
      </c>
      <c r="B12" t="s">
        <v>48</v>
      </c>
      <c r="C12">
        <v>3</v>
      </c>
      <c r="D12" t="s">
        <v>249</v>
      </c>
      <c r="E12" t="s">
        <v>248</v>
      </c>
      <c r="F12">
        <v>6</v>
      </c>
      <c r="G12">
        <v>45.47</v>
      </c>
      <c r="H12">
        <v>47.02</v>
      </c>
      <c r="I12" t="s">
        <v>190</v>
      </c>
    </row>
    <row r="13" spans="1:9" x14ac:dyDescent="0.3">
      <c r="A13">
        <v>1</v>
      </c>
      <c r="B13" t="s">
        <v>48</v>
      </c>
      <c r="C13">
        <v>5</v>
      </c>
      <c r="D13" t="s">
        <v>251</v>
      </c>
      <c r="E13" t="s">
        <v>252</v>
      </c>
      <c r="F13">
        <v>6</v>
      </c>
      <c r="G13">
        <v>136.4</v>
      </c>
      <c r="H13">
        <v>141.44999999999999</v>
      </c>
      <c r="I13" t="s">
        <v>190</v>
      </c>
    </row>
    <row r="14" spans="1:9" x14ac:dyDescent="0.3">
      <c r="A14">
        <v>1</v>
      </c>
      <c r="B14" t="s">
        <v>48</v>
      </c>
      <c r="C14">
        <v>6</v>
      </c>
      <c r="D14" t="s">
        <v>253</v>
      </c>
      <c r="E14" t="s">
        <v>252</v>
      </c>
      <c r="F14">
        <v>6</v>
      </c>
      <c r="G14">
        <v>60.62</v>
      </c>
      <c r="H14">
        <v>61.65</v>
      </c>
      <c r="I14" t="s">
        <v>190</v>
      </c>
    </row>
    <row r="15" spans="1:9" x14ac:dyDescent="0.3">
      <c r="A15">
        <v>1</v>
      </c>
      <c r="B15" t="s">
        <v>48</v>
      </c>
      <c r="C15">
        <v>7</v>
      </c>
      <c r="D15" t="s">
        <v>254</v>
      </c>
      <c r="E15" t="s">
        <v>252</v>
      </c>
      <c r="F15">
        <v>6</v>
      </c>
      <c r="G15">
        <v>30.31</v>
      </c>
      <c r="H15">
        <v>29.65</v>
      </c>
      <c r="I15" t="s">
        <v>190</v>
      </c>
    </row>
    <row r="16" spans="1:9" x14ac:dyDescent="0.3">
      <c r="A16">
        <v>1</v>
      </c>
      <c r="B16" t="s">
        <v>48</v>
      </c>
      <c r="C16">
        <v>8</v>
      </c>
      <c r="D16" t="s">
        <v>255</v>
      </c>
      <c r="E16" t="s">
        <v>252</v>
      </c>
      <c r="F16">
        <v>6</v>
      </c>
      <c r="G16">
        <v>22.73</v>
      </c>
      <c r="H16">
        <v>22.14</v>
      </c>
      <c r="I16" t="s">
        <v>190</v>
      </c>
    </row>
    <row r="17" spans="1:9" x14ac:dyDescent="0.3">
      <c r="A17">
        <v>2</v>
      </c>
      <c r="B17" t="s">
        <v>55</v>
      </c>
      <c r="C17">
        <v>1</v>
      </c>
      <c r="D17" t="s">
        <v>247</v>
      </c>
      <c r="E17" t="s">
        <v>248</v>
      </c>
      <c r="F17">
        <v>8</v>
      </c>
      <c r="G17">
        <v>15896.4</v>
      </c>
      <c r="H17">
        <v>15567.44</v>
      </c>
      <c r="I17" t="s">
        <v>202</v>
      </c>
    </row>
    <row r="18" spans="1:9" x14ac:dyDescent="0.3">
      <c r="A18">
        <v>2</v>
      </c>
      <c r="B18" t="s">
        <v>55</v>
      </c>
      <c r="C18">
        <v>2</v>
      </c>
      <c r="D18" t="s">
        <v>203</v>
      </c>
      <c r="E18" t="s">
        <v>248</v>
      </c>
      <c r="F18">
        <v>8</v>
      </c>
      <c r="G18">
        <v>1222.8</v>
      </c>
      <c r="H18">
        <v>1217.8399999999999</v>
      </c>
      <c r="I18" t="s">
        <v>202</v>
      </c>
    </row>
    <row r="19" spans="1:9" x14ac:dyDescent="0.3">
      <c r="A19">
        <v>2</v>
      </c>
      <c r="B19" t="s">
        <v>55</v>
      </c>
      <c r="C19">
        <v>3</v>
      </c>
      <c r="D19" t="s">
        <v>249</v>
      </c>
      <c r="E19" t="s">
        <v>248</v>
      </c>
      <c r="F19">
        <v>8</v>
      </c>
      <c r="G19">
        <v>611.4</v>
      </c>
      <c r="H19">
        <v>590.46</v>
      </c>
      <c r="I19" t="s">
        <v>202</v>
      </c>
    </row>
    <row r="20" spans="1:9" x14ac:dyDescent="0.3">
      <c r="A20">
        <v>2</v>
      </c>
      <c r="B20" t="s">
        <v>55</v>
      </c>
      <c r="C20">
        <v>4</v>
      </c>
      <c r="D20" t="s">
        <v>250</v>
      </c>
      <c r="E20" t="s">
        <v>248</v>
      </c>
      <c r="F20">
        <v>8</v>
      </c>
      <c r="G20">
        <v>407.6</v>
      </c>
      <c r="H20">
        <v>405.39</v>
      </c>
      <c r="I20" t="s">
        <v>202</v>
      </c>
    </row>
    <row r="21" spans="1:9" x14ac:dyDescent="0.3">
      <c r="A21">
        <v>2</v>
      </c>
      <c r="B21" t="s">
        <v>55</v>
      </c>
      <c r="C21">
        <v>5</v>
      </c>
      <c r="D21" t="s">
        <v>251</v>
      </c>
      <c r="E21" t="s">
        <v>252</v>
      </c>
      <c r="F21">
        <v>8</v>
      </c>
      <c r="G21">
        <v>1834.2</v>
      </c>
      <c r="H21">
        <v>1790.77</v>
      </c>
      <c r="I21" t="s">
        <v>202</v>
      </c>
    </row>
    <row r="22" spans="1:9" x14ac:dyDescent="0.3">
      <c r="A22">
        <v>2</v>
      </c>
      <c r="B22" t="s">
        <v>55</v>
      </c>
      <c r="C22">
        <v>6</v>
      </c>
      <c r="D22" t="s">
        <v>253</v>
      </c>
      <c r="E22" t="s">
        <v>252</v>
      </c>
      <c r="F22">
        <v>8</v>
      </c>
      <c r="G22">
        <v>815.2</v>
      </c>
      <c r="H22">
        <v>852.84</v>
      </c>
      <c r="I22" t="s">
        <v>202</v>
      </c>
    </row>
    <row r="23" spans="1:9" x14ac:dyDescent="0.3">
      <c r="A23">
        <v>2</v>
      </c>
      <c r="B23" t="s">
        <v>55</v>
      </c>
      <c r="C23">
        <v>7</v>
      </c>
      <c r="D23" t="s">
        <v>254</v>
      </c>
      <c r="E23" t="s">
        <v>252</v>
      </c>
      <c r="F23">
        <v>8</v>
      </c>
      <c r="G23">
        <v>407.6</v>
      </c>
      <c r="H23">
        <v>426.86</v>
      </c>
      <c r="I23" t="s">
        <v>202</v>
      </c>
    </row>
    <row r="24" spans="1:9" x14ac:dyDescent="0.3">
      <c r="A24">
        <v>2</v>
      </c>
      <c r="B24" t="s">
        <v>55</v>
      </c>
      <c r="C24">
        <v>8</v>
      </c>
      <c r="D24" t="s">
        <v>255</v>
      </c>
      <c r="E24" t="s">
        <v>252</v>
      </c>
      <c r="F24">
        <v>8</v>
      </c>
      <c r="G24">
        <v>305.7</v>
      </c>
      <c r="H24">
        <v>307.14</v>
      </c>
      <c r="I24" t="s">
        <v>202</v>
      </c>
    </row>
    <row r="25" spans="1:9" x14ac:dyDescent="0.3">
      <c r="A25">
        <v>2</v>
      </c>
      <c r="B25" t="s">
        <v>55</v>
      </c>
      <c r="C25">
        <v>2</v>
      </c>
      <c r="D25" t="s">
        <v>203</v>
      </c>
      <c r="E25" t="s">
        <v>248</v>
      </c>
      <c r="F25">
        <v>8</v>
      </c>
      <c r="G25">
        <v>146.74</v>
      </c>
      <c r="H25">
        <v>142.99</v>
      </c>
      <c r="I25" t="s">
        <v>190</v>
      </c>
    </row>
    <row r="26" spans="1:9" x14ac:dyDescent="0.3">
      <c r="A26">
        <v>2</v>
      </c>
      <c r="B26" t="s">
        <v>55</v>
      </c>
      <c r="C26">
        <v>3</v>
      </c>
      <c r="D26" t="s">
        <v>249</v>
      </c>
      <c r="E26" t="s">
        <v>248</v>
      </c>
      <c r="F26">
        <v>8</v>
      </c>
      <c r="G26">
        <v>73.37</v>
      </c>
      <c r="H26">
        <v>76.790000000000006</v>
      </c>
      <c r="I26" t="s">
        <v>190</v>
      </c>
    </row>
    <row r="27" spans="1:9" x14ac:dyDescent="0.3">
      <c r="A27">
        <v>2</v>
      </c>
      <c r="B27" t="s">
        <v>55</v>
      </c>
      <c r="C27">
        <v>5</v>
      </c>
      <c r="D27" t="s">
        <v>251</v>
      </c>
      <c r="E27" t="s">
        <v>252</v>
      </c>
      <c r="F27">
        <v>8</v>
      </c>
      <c r="G27">
        <v>220.1</v>
      </c>
      <c r="H27">
        <v>215.91</v>
      </c>
      <c r="I27" t="s">
        <v>190</v>
      </c>
    </row>
    <row r="28" spans="1:9" x14ac:dyDescent="0.3">
      <c r="A28">
        <v>2</v>
      </c>
      <c r="B28" t="s">
        <v>55</v>
      </c>
      <c r="C28">
        <v>6</v>
      </c>
      <c r="D28" t="s">
        <v>253</v>
      </c>
      <c r="E28" t="s">
        <v>252</v>
      </c>
      <c r="F28">
        <v>8</v>
      </c>
      <c r="G28">
        <v>97.82</v>
      </c>
      <c r="H28">
        <v>96.42</v>
      </c>
      <c r="I28" t="s">
        <v>190</v>
      </c>
    </row>
    <row r="29" spans="1:9" x14ac:dyDescent="0.3">
      <c r="A29">
        <v>2</v>
      </c>
      <c r="B29" t="s">
        <v>55</v>
      </c>
      <c r="C29">
        <v>7</v>
      </c>
      <c r="D29" t="s">
        <v>254</v>
      </c>
      <c r="E29" t="s">
        <v>252</v>
      </c>
      <c r="F29">
        <v>8</v>
      </c>
      <c r="G29">
        <v>48.91</v>
      </c>
      <c r="H29">
        <v>46.47</v>
      </c>
      <c r="I29" t="s">
        <v>190</v>
      </c>
    </row>
    <row r="30" spans="1:9" x14ac:dyDescent="0.3">
      <c r="A30">
        <v>2</v>
      </c>
      <c r="B30" t="s">
        <v>55</v>
      </c>
      <c r="C30">
        <v>8</v>
      </c>
      <c r="D30" t="s">
        <v>255</v>
      </c>
      <c r="E30" t="s">
        <v>252</v>
      </c>
      <c r="F30">
        <v>8</v>
      </c>
      <c r="G30">
        <v>36.68</v>
      </c>
      <c r="H30">
        <v>36.25</v>
      </c>
      <c r="I30" t="s">
        <v>190</v>
      </c>
    </row>
    <row r="31" spans="1:9" x14ac:dyDescent="0.3">
      <c r="A31">
        <v>3</v>
      </c>
      <c r="B31" t="s">
        <v>61</v>
      </c>
      <c r="C31">
        <v>1</v>
      </c>
      <c r="D31" t="s">
        <v>247</v>
      </c>
      <c r="E31" t="s">
        <v>248</v>
      </c>
      <c r="F31">
        <v>6</v>
      </c>
      <c r="G31">
        <v>9484.7999999999993</v>
      </c>
      <c r="H31">
        <v>9460.75</v>
      </c>
      <c r="I31" t="s">
        <v>202</v>
      </c>
    </row>
    <row r="32" spans="1:9" x14ac:dyDescent="0.3">
      <c r="A32">
        <v>3</v>
      </c>
      <c r="B32" t="s">
        <v>61</v>
      </c>
      <c r="C32">
        <v>2</v>
      </c>
      <c r="D32" t="s">
        <v>203</v>
      </c>
      <c r="E32" t="s">
        <v>248</v>
      </c>
      <c r="F32">
        <v>6</v>
      </c>
      <c r="G32">
        <v>729.6</v>
      </c>
      <c r="H32">
        <v>729.8</v>
      </c>
      <c r="I32" t="s">
        <v>202</v>
      </c>
    </row>
    <row r="33" spans="1:9" x14ac:dyDescent="0.3">
      <c r="A33">
        <v>3</v>
      </c>
      <c r="B33" t="s">
        <v>61</v>
      </c>
      <c r="C33">
        <v>3</v>
      </c>
      <c r="D33" t="s">
        <v>249</v>
      </c>
      <c r="E33" t="s">
        <v>248</v>
      </c>
      <c r="F33">
        <v>6</v>
      </c>
      <c r="G33">
        <v>364.8</v>
      </c>
      <c r="H33">
        <v>353.89</v>
      </c>
      <c r="I33" t="s">
        <v>202</v>
      </c>
    </row>
    <row r="34" spans="1:9" x14ac:dyDescent="0.3">
      <c r="A34">
        <v>3</v>
      </c>
      <c r="B34" t="s">
        <v>61</v>
      </c>
      <c r="C34">
        <v>4</v>
      </c>
      <c r="D34" t="s">
        <v>250</v>
      </c>
      <c r="E34" t="s">
        <v>248</v>
      </c>
      <c r="F34">
        <v>6</v>
      </c>
      <c r="G34">
        <v>243.2</v>
      </c>
      <c r="H34">
        <v>243.32</v>
      </c>
      <c r="I34" t="s">
        <v>202</v>
      </c>
    </row>
    <row r="35" spans="1:9" x14ac:dyDescent="0.3">
      <c r="A35">
        <v>3</v>
      </c>
      <c r="B35" t="s">
        <v>61</v>
      </c>
      <c r="C35">
        <v>5</v>
      </c>
      <c r="D35" t="s">
        <v>251</v>
      </c>
      <c r="E35" t="s">
        <v>252</v>
      </c>
      <c r="F35">
        <v>6</v>
      </c>
      <c r="G35">
        <v>1094.4000000000001</v>
      </c>
      <c r="H35">
        <v>1040.22</v>
      </c>
      <c r="I35" t="s">
        <v>202</v>
      </c>
    </row>
    <row r="36" spans="1:9" x14ac:dyDescent="0.3">
      <c r="A36">
        <v>3</v>
      </c>
      <c r="B36" t="s">
        <v>61</v>
      </c>
      <c r="C36">
        <v>6</v>
      </c>
      <c r="D36" t="s">
        <v>253</v>
      </c>
      <c r="E36" t="s">
        <v>252</v>
      </c>
      <c r="F36">
        <v>6</v>
      </c>
      <c r="G36">
        <v>486.4</v>
      </c>
      <c r="H36">
        <v>474.93</v>
      </c>
      <c r="I36" t="s">
        <v>202</v>
      </c>
    </row>
    <row r="37" spans="1:9" x14ac:dyDescent="0.3">
      <c r="A37">
        <v>3</v>
      </c>
      <c r="B37" t="s">
        <v>61</v>
      </c>
      <c r="C37">
        <v>7</v>
      </c>
      <c r="D37" t="s">
        <v>254</v>
      </c>
      <c r="E37" t="s">
        <v>252</v>
      </c>
      <c r="F37">
        <v>6</v>
      </c>
      <c r="G37">
        <v>243.2</v>
      </c>
      <c r="H37">
        <v>233.22</v>
      </c>
      <c r="I37" t="s">
        <v>202</v>
      </c>
    </row>
    <row r="38" spans="1:9" x14ac:dyDescent="0.3">
      <c r="A38">
        <v>3</v>
      </c>
      <c r="B38" t="s">
        <v>61</v>
      </c>
      <c r="C38">
        <v>8</v>
      </c>
      <c r="D38" t="s">
        <v>255</v>
      </c>
      <c r="E38" t="s">
        <v>252</v>
      </c>
      <c r="F38">
        <v>6</v>
      </c>
      <c r="G38">
        <v>182.4</v>
      </c>
      <c r="H38">
        <v>180.57</v>
      </c>
      <c r="I38" t="s">
        <v>202</v>
      </c>
    </row>
    <row r="39" spans="1:9" x14ac:dyDescent="0.3">
      <c r="A39">
        <v>3</v>
      </c>
      <c r="B39" t="s">
        <v>61</v>
      </c>
      <c r="C39">
        <v>2</v>
      </c>
      <c r="D39" t="s">
        <v>203</v>
      </c>
      <c r="E39" t="s">
        <v>248</v>
      </c>
      <c r="F39">
        <v>6</v>
      </c>
      <c r="G39">
        <v>87.55</v>
      </c>
      <c r="H39">
        <v>83.54</v>
      </c>
      <c r="I39" t="s">
        <v>190</v>
      </c>
    </row>
    <row r="40" spans="1:9" x14ac:dyDescent="0.3">
      <c r="A40">
        <v>3</v>
      </c>
      <c r="B40" t="s">
        <v>61</v>
      </c>
      <c r="C40">
        <v>3</v>
      </c>
      <c r="D40" t="s">
        <v>249</v>
      </c>
      <c r="E40" t="s">
        <v>248</v>
      </c>
      <c r="F40">
        <v>6</v>
      </c>
      <c r="G40">
        <v>43.78</v>
      </c>
      <c r="H40">
        <v>41.69</v>
      </c>
      <c r="I40" t="s">
        <v>190</v>
      </c>
    </row>
    <row r="41" spans="1:9" x14ac:dyDescent="0.3">
      <c r="A41">
        <v>3</v>
      </c>
      <c r="B41" t="s">
        <v>61</v>
      </c>
      <c r="C41">
        <v>5</v>
      </c>
      <c r="D41" t="s">
        <v>251</v>
      </c>
      <c r="E41" t="s">
        <v>252</v>
      </c>
      <c r="F41">
        <v>6</v>
      </c>
      <c r="G41">
        <v>131.33000000000001</v>
      </c>
      <c r="H41">
        <v>128.76</v>
      </c>
      <c r="I41" t="s">
        <v>190</v>
      </c>
    </row>
    <row r="42" spans="1:9" x14ac:dyDescent="0.3">
      <c r="A42">
        <v>3</v>
      </c>
      <c r="B42" t="s">
        <v>61</v>
      </c>
      <c r="C42">
        <v>6</v>
      </c>
      <c r="D42" t="s">
        <v>253</v>
      </c>
      <c r="E42" t="s">
        <v>252</v>
      </c>
      <c r="F42">
        <v>6</v>
      </c>
      <c r="G42">
        <v>58.37</v>
      </c>
      <c r="H42">
        <v>56.81</v>
      </c>
      <c r="I42" t="s">
        <v>190</v>
      </c>
    </row>
    <row r="43" spans="1:9" x14ac:dyDescent="0.3">
      <c r="A43">
        <v>3</v>
      </c>
      <c r="B43" t="s">
        <v>61</v>
      </c>
      <c r="C43">
        <v>7</v>
      </c>
      <c r="D43" t="s">
        <v>254</v>
      </c>
      <c r="E43" t="s">
        <v>252</v>
      </c>
      <c r="F43">
        <v>6</v>
      </c>
      <c r="G43">
        <v>29.18</v>
      </c>
      <c r="H43">
        <v>29.43</v>
      </c>
      <c r="I43" t="s">
        <v>190</v>
      </c>
    </row>
    <row r="44" spans="1:9" x14ac:dyDescent="0.3">
      <c r="A44">
        <v>3</v>
      </c>
      <c r="B44" t="s">
        <v>61</v>
      </c>
      <c r="C44">
        <v>8</v>
      </c>
      <c r="D44" t="s">
        <v>255</v>
      </c>
      <c r="E44" t="s">
        <v>252</v>
      </c>
      <c r="F44">
        <v>6</v>
      </c>
      <c r="G44">
        <v>21.89</v>
      </c>
      <c r="H44">
        <v>21.95</v>
      </c>
      <c r="I44" t="s">
        <v>190</v>
      </c>
    </row>
    <row r="45" spans="1:9" x14ac:dyDescent="0.3">
      <c r="A45">
        <v>4</v>
      </c>
      <c r="B45" t="s">
        <v>67</v>
      </c>
      <c r="C45">
        <v>1</v>
      </c>
      <c r="D45" t="s">
        <v>247</v>
      </c>
      <c r="E45" t="s">
        <v>248</v>
      </c>
      <c r="F45">
        <v>3</v>
      </c>
      <c r="G45">
        <v>4040.4</v>
      </c>
      <c r="H45">
        <v>4141.63</v>
      </c>
      <c r="I45" t="s">
        <v>202</v>
      </c>
    </row>
    <row r="46" spans="1:9" x14ac:dyDescent="0.3">
      <c r="A46">
        <v>4</v>
      </c>
      <c r="B46" t="s">
        <v>67</v>
      </c>
      <c r="C46">
        <v>2</v>
      </c>
      <c r="D46" t="s">
        <v>203</v>
      </c>
      <c r="E46" t="s">
        <v>248</v>
      </c>
      <c r="F46">
        <v>3</v>
      </c>
      <c r="G46">
        <v>310.8</v>
      </c>
      <c r="H46">
        <v>315.7</v>
      </c>
      <c r="I46" t="s">
        <v>202</v>
      </c>
    </row>
    <row r="47" spans="1:9" x14ac:dyDescent="0.3">
      <c r="A47">
        <v>4</v>
      </c>
      <c r="B47" t="s">
        <v>67</v>
      </c>
      <c r="C47">
        <v>3</v>
      </c>
      <c r="D47" t="s">
        <v>249</v>
      </c>
      <c r="E47" t="s">
        <v>248</v>
      </c>
      <c r="F47">
        <v>3</v>
      </c>
      <c r="G47">
        <v>155.4</v>
      </c>
      <c r="H47">
        <v>158.76</v>
      </c>
      <c r="I47" t="s">
        <v>202</v>
      </c>
    </row>
    <row r="48" spans="1:9" x14ac:dyDescent="0.3">
      <c r="A48">
        <v>4</v>
      </c>
      <c r="B48" t="s">
        <v>67</v>
      </c>
      <c r="C48">
        <v>4</v>
      </c>
      <c r="D48" t="s">
        <v>250</v>
      </c>
      <c r="E48" t="s">
        <v>248</v>
      </c>
      <c r="F48">
        <v>3</v>
      </c>
      <c r="G48">
        <v>103.6</v>
      </c>
      <c r="H48">
        <v>107.53</v>
      </c>
      <c r="I48" t="s">
        <v>202</v>
      </c>
    </row>
    <row r="49" spans="1:9" x14ac:dyDescent="0.3">
      <c r="A49">
        <v>4</v>
      </c>
      <c r="B49" t="s">
        <v>67</v>
      </c>
      <c r="C49">
        <v>5</v>
      </c>
      <c r="D49" t="s">
        <v>251</v>
      </c>
      <c r="E49" t="s">
        <v>252</v>
      </c>
      <c r="F49">
        <v>3</v>
      </c>
      <c r="G49">
        <v>466.2</v>
      </c>
      <c r="H49">
        <v>461.05</v>
      </c>
      <c r="I49" t="s">
        <v>202</v>
      </c>
    </row>
    <row r="50" spans="1:9" x14ac:dyDescent="0.3">
      <c r="A50">
        <v>4</v>
      </c>
      <c r="B50" t="s">
        <v>67</v>
      </c>
      <c r="C50">
        <v>6</v>
      </c>
      <c r="D50" t="s">
        <v>253</v>
      </c>
      <c r="E50" t="s">
        <v>252</v>
      </c>
      <c r="F50">
        <v>3</v>
      </c>
      <c r="G50">
        <v>207.2</v>
      </c>
      <c r="H50">
        <v>203.6</v>
      </c>
      <c r="I50" t="s">
        <v>202</v>
      </c>
    </row>
    <row r="51" spans="1:9" x14ac:dyDescent="0.3">
      <c r="A51">
        <v>4</v>
      </c>
      <c r="B51" t="s">
        <v>67</v>
      </c>
      <c r="C51">
        <v>7</v>
      </c>
      <c r="D51" t="s">
        <v>254</v>
      </c>
      <c r="E51" t="s">
        <v>252</v>
      </c>
      <c r="F51">
        <v>3</v>
      </c>
      <c r="G51">
        <v>103.6</v>
      </c>
      <c r="H51">
        <v>108.62</v>
      </c>
      <c r="I51" t="s">
        <v>202</v>
      </c>
    </row>
    <row r="52" spans="1:9" x14ac:dyDescent="0.3">
      <c r="A52">
        <v>4</v>
      </c>
      <c r="B52" t="s">
        <v>67</v>
      </c>
      <c r="C52">
        <v>8</v>
      </c>
      <c r="D52" t="s">
        <v>255</v>
      </c>
      <c r="E52" t="s">
        <v>252</v>
      </c>
      <c r="F52">
        <v>3</v>
      </c>
      <c r="G52">
        <v>77.7</v>
      </c>
      <c r="H52">
        <v>74.98</v>
      </c>
      <c r="I52" t="s">
        <v>202</v>
      </c>
    </row>
    <row r="53" spans="1:9" x14ac:dyDescent="0.3">
      <c r="A53">
        <v>4</v>
      </c>
      <c r="B53" t="s">
        <v>67</v>
      </c>
      <c r="C53">
        <v>2</v>
      </c>
      <c r="D53" t="s">
        <v>203</v>
      </c>
      <c r="E53" t="s">
        <v>248</v>
      </c>
      <c r="F53">
        <v>3</v>
      </c>
      <c r="G53">
        <v>37.299999999999997</v>
      </c>
      <c r="H53">
        <v>38.14</v>
      </c>
      <c r="I53" t="s">
        <v>190</v>
      </c>
    </row>
    <row r="54" spans="1:9" x14ac:dyDescent="0.3">
      <c r="A54">
        <v>4</v>
      </c>
      <c r="B54" t="s">
        <v>67</v>
      </c>
      <c r="C54">
        <v>3</v>
      </c>
      <c r="D54" t="s">
        <v>249</v>
      </c>
      <c r="E54" t="s">
        <v>248</v>
      </c>
      <c r="F54">
        <v>3</v>
      </c>
      <c r="G54">
        <v>18.649999999999999</v>
      </c>
      <c r="H54">
        <v>18.920000000000002</v>
      </c>
      <c r="I54" t="s">
        <v>190</v>
      </c>
    </row>
    <row r="55" spans="1:9" x14ac:dyDescent="0.3">
      <c r="A55">
        <v>4</v>
      </c>
      <c r="B55" t="s">
        <v>67</v>
      </c>
      <c r="C55">
        <v>5</v>
      </c>
      <c r="D55" t="s">
        <v>251</v>
      </c>
      <c r="E55" t="s">
        <v>252</v>
      </c>
      <c r="F55">
        <v>3</v>
      </c>
      <c r="G55">
        <v>55.94</v>
      </c>
      <c r="H55">
        <v>53.39</v>
      </c>
      <c r="I55" t="s">
        <v>190</v>
      </c>
    </row>
    <row r="56" spans="1:9" x14ac:dyDescent="0.3">
      <c r="A56">
        <v>4</v>
      </c>
      <c r="B56" t="s">
        <v>67</v>
      </c>
      <c r="C56">
        <v>6</v>
      </c>
      <c r="D56" t="s">
        <v>253</v>
      </c>
      <c r="E56" t="s">
        <v>252</v>
      </c>
      <c r="F56">
        <v>3</v>
      </c>
      <c r="G56">
        <v>24.86</v>
      </c>
      <c r="H56">
        <v>25.69</v>
      </c>
      <c r="I56" t="s">
        <v>190</v>
      </c>
    </row>
    <row r="57" spans="1:9" x14ac:dyDescent="0.3">
      <c r="A57">
        <v>4</v>
      </c>
      <c r="B57" t="s">
        <v>67</v>
      </c>
      <c r="C57">
        <v>7</v>
      </c>
      <c r="D57" t="s">
        <v>254</v>
      </c>
      <c r="E57" t="s">
        <v>252</v>
      </c>
      <c r="F57">
        <v>3</v>
      </c>
      <c r="G57">
        <v>12.43</v>
      </c>
      <c r="H57">
        <v>12.92</v>
      </c>
      <c r="I57" t="s">
        <v>190</v>
      </c>
    </row>
    <row r="58" spans="1:9" x14ac:dyDescent="0.3">
      <c r="A58">
        <v>4</v>
      </c>
      <c r="B58" t="s">
        <v>67</v>
      </c>
      <c r="C58">
        <v>8</v>
      </c>
      <c r="D58" t="s">
        <v>255</v>
      </c>
      <c r="E58" t="s">
        <v>252</v>
      </c>
      <c r="F58">
        <v>3</v>
      </c>
      <c r="G58">
        <v>9.32</v>
      </c>
      <c r="H58">
        <v>9.44</v>
      </c>
      <c r="I58" t="s">
        <v>190</v>
      </c>
    </row>
    <row r="59" spans="1:9" x14ac:dyDescent="0.3">
      <c r="A59">
        <v>5</v>
      </c>
      <c r="B59" t="s">
        <v>73</v>
      </c>
      <c r="C59">
        <v>1</v>
      </c>
      <c r="D59" t="s">
        <v>247</v>
      </c>
      <c r="E59" t="s">
        <v>248</v>
      </c>
      <c r="F59">
        <v>6</v>
      </c>
      <c r="G59">
        <v>26332.799999999999</v>
      </c>
      <c r="H59">
        <v>26948.6</v>
      </c>
      <c r="I59" t="s">
        <v>202</v>
      </c>
    </row>
    <row r="60" spans="1:9" x14ac:dyDescent="0.3">
      <c r="A60">
        <v>5</v>
      </c>
      <c r="B60" t="s">
        <v>73</v>
      </c>
      <c r="C60">
        <v>2</v>
      </c>
      <c r="D60" t="s">
        <v>203</v>
      </c>
      <c r="E60" t="s">
        <v>248</v>
      </c>
      <c r="F60">
        <v>6</v>
      </c>
      <c r="G60">
        <v>2025.6</v>
      </c>
      <c r="H60">
        <v>2088.84</v>
      </c>
      <c r="I60" t="s">
        <v>202</v>
      </c>
    </row>
    <row r="61" spans="1:9" x14ac:dyDescent="0.3">
      <c r="A61">
        <v>5</v>
      </c>
      <c r="B61" t="s">
        <v>73</v>
      </c>
      <c r="C61">
        <v>3</v>
      </c>
      <c r="D61" t="s">
        <v>249</v>
      </c>
      <c r="E61" t="s">
        <v>248</v>
      </c>
      <c r="F61">
        <v>6</v>
      </c>
      <c r="G61">
        <v>1012.8</v>
      </c>
      <c r="H61">
        <v>976.27</v>
      </c>
      <c r="I61" t="s">
        <v>202</v>
      </c>
    </row>
    <row r="62" spans="1:9" x14ac:dyDescent="0.3">
      <c r="A62">
        <v>5</v>
      </c>
      <c r="B62" t="s">
        <v>73</v>
      </c>
      <c r="C62">
        <v>4</v>
      </c>
      <c r="D62" t="s">
        <v>250</v>
      </c>
      <c r="E62" t="s">
        <v>248</v>
      </c>
      <c r="F62">
        <v>6</v>
      </c>
      <c r="G62">
        <v>675.2</v>
      </c>
      <c r="H62">
        <v>676.8</v>
      </c>
      <c r="I62" t="s">
        <v>202</v>
      </c>
    </row>
    <row r="63" spans="1:9" x14ac:dyDescent="0.3">
      <c r="A63">
        <v>5</v>
      </c>
      <c r="B63" t="s">
        <v>73</v>
      </c>
      <c r="C63">
        <v>5</v>
      </c>
      <c r="D63" t="s">
        <v>251</v>
      </c>
      <c r="E63" t="s">
        <v>252</v>
      </c>
      <c r="F63">
        <v>6</v>
      </c>
      <c r="G63">
        <v>3038.4</v>
      </c>
      <c r="H63">
        <v>3039.73</v>
      </c>
      <c r="I63" t="s">
        <v>202</v>
      </c>
    </row>
    <row r="64" spans="1:9" x14ac:dyDescent="0.3">
      <c r="A64">
        <v>5</v>
      </c>
      <c r="B64" t="s">
        <v>73</v>
      </c>
      <c r="C64">
        <v>6</v>
      </c>
      <c r="D64" t="s">
        <v>253</v>
      </c>
      <c r="E64" t="s">
        <v>252</v>
      </c>
      <c r="F64">
        <v>6</v>
      </c>
      <c r="G64">
        <v>1350.4</v>
      </c>
      <c r="H64">
        <v>1395.63</v>
      </c>
      <c r="I64" t="s">
        <v>202</v>
      </c>
    </row>
    <row r="65" spans="1:9" x14ac:dyDescent="0.3">
      <c r="A65">
        <v>5</v>
      </c>
      <c r="B65" t="s">
        <v>73</v>
      </c>
      <c r="C65">
        <v>7</v>
      </c>
      <c r="D65" t="s">
        <v>254</v>
      </c>
      <c r="E65" t="s">
        <v>252</v>
      </c>
      <c r="F65">
        <v>6</v>
      </c>
      <c r="G65">
        <v>675.2</v>
      </c>
      <c r="H65">
        <v>695.77</v>
      </c>
      <c r="I65" t="s">
        <v>202</v>
      </c>
    </row>
    <row r="66" spans="1:9" x14ac:dyDescent="0.3">
      <c r="A66">
        <v>5</v>
      </c>
      <c r="B66" t="s">
        <v>73</v>
      </c>
      <c r="C66">
        <v>8</v>
      </c>
      <c r="D66" t="s">
        <v>255</v>
      </c>
      <c r="E66" t="s">
        <v>252</v>
      </c>
      <c r="F66">
        <v>6</v>
      </c>
      <c r="G66">
        <v>506.4</v>
      </c>
      <c r="H66">
        <v>522.92999999999995</v>
      </c>
      <c r="I66" t="s">
        <v>202</v>
      </c>
    </row>
    <row r="67" spans="1:9" x14ac:dyDescent="0.3">
      <c r="A67">
        <v>5</v>
      </c>
      <c r="B67" t="s">
        <v>73</v>
      </c>
      <c r="C67">
        <v>2</v>
      </c>
      <c r="D67" t="s">
        <v>203</v>
      </c>
      <c r="E67" t="s">
        <v>248</v>
      </c>
      <c r="F67">
        <v>6</v>
      </c>
      <c r="G67">
        <v>243.07</v>
      </c>
      <c r="H67">
        <v>245.11</v>
      </c>
      <c r="I67" t="s">
        <v>190</v>
      </c>
    </row>
    <row r="68" spans="1:9" x14ac:dyDescent="0.3">
      <c r="A68">
        <v>5</v>
      </c>
      <c r="B68" t="s">
        <v>73</v>
      </c>
      <c r="C68">
        <v>3</v>
      </c>
      <c r="D68" t="s">
        <v>249</v>
      </c>
      <c r="E68" t="s">
        <v>248</v>
      </c>
      <c r="F68">
        <v>6</v>
      </c>
      <c r="G68">
        <v>121.54</v>
      </c>
      <c r="H68">
        <v>126.31</v>
      </c>
      <c r="I68" t="s">
        <v>190</v>
      </c>
    </row>
    <row r="69" spans="1:9" x14ac:dyDescent="0.3">
      <c r="A69">
        <v>5</v>
      </c>
      <c r="B69" t="s">
        <v>73</v>
      </c>
      <c r="C69">
        <v>5</v>
      </c>
      <c r="D69" t="s">
        <v>251</v>
      </c>
      <c r="E69" t="s">
        <v>252</v>
      </c>
      <c r="F69">
        <v>6</v>
      </c>
      <c r="G69">
        <v>364.61</v>
      </c>
      <c r="H69">
        <v>371.28</v>
      </c>
      <c r="I69" t="s">
        <v>190</v>
      </c>
    </row>
    <row r="70" spans="1:9" x14ac:dyDescent="0.3">
      <c r="A70">
        <v>5</v>
      </c>
      <c r="B70" t="s">
        <v>73</v>
      </c>
      <c r="C70">
        <v>6</v>
      </c>
      <c r="D70" t="s">
        <v>253</v>
      </c>
      <c r="E70" t="s">
        <v>252</v>
      </c>
      <c r="F70">
        <v>6</v>
      </c>
      <c r="G70">
        <v>162.05000000000001</v>
      </c>
      <c r="H70">
        <v>165.18</v>
      </c>
      <c r="I70" t="s">
        <v>190</v>
      </c>
    </row>
    <row r="71" spans="1:9" x14ac:dyDescent="0.3">
      <c r="A71">
        <v>5</v>
      </c>
      <c r="B71" t="s">
        <v>73</v>
      </c>
      <c r="C71">
        <v>7</v>
      </c>
      <c r="D71" t="s">
        <v>254</v>
      </c>
      <c r="E71" t="s">
        <v>252</v>
      </c>
      <c r="F71">
        <v>6</v>
      </c>
      <c r="G71">
        <v>81.02</v>
      </c>
      <c r="H71">
        <v>78.83</v>
      </c>
      <c r="I71" t="s">
        <v>190</v>
      </c>
    </row>
    <row r="72" spans="1:9" x14ac:dyDescent="0.3">
      <c r="A72">
        <v>5</v>
      </c>
      <c r="B72" t="s">
        <v>73</v>
      </c>
      <c r="C72">
        <v>8</v>
      </c>
      <c r="D72" t="s">
        <v>255</v>
      </c>
      <c r="E72" t="s">
        <v>252</v>
      </c>
      <c r="F72">
        <v>6</v>
      </c>
      <c r="G72">
        <v>60.77</v>
      </c>
      <c r="H72">
        <v>57.92</v>
      </c>
      <c r="I72" t="s">
        <v>190</v>
      </c>
    </row>
    <row r="73" spans="1:9" x14ac:dyDescent="0.3">
      <c r="A73">
        <v>6</v>
      </c>
      <c r="B73" t="s">
        <v>97</v>
      </c>
      <c r="C73">
        <v>1</v>
      </c>
      <c r="D73" t="s">
        <v>247</v>
      </c>
      <c r="E73" t="s">
        <v>248</v>
      </c>
      <c r="F73">
        <v>3</v>
      </c>
      <c r="G73">
        <v>4683.8999999999996</v>
      </c>
      <c r="H73">
        <v>4512.04</v>
      </c>
      <c r="I73" t="s">
        <v>202</v>
      </c>
    </row>
    <row r="74" spans="1:9" x14ac:dyDescent="0.3">
      <c r="A74">
        <v>6</v>
      </c>
      <c r="B74" t="s">
        <v>97</v>
      </c>
      <c r="C74">
        <v>2</v>
      </c>
      <c r="D74" t="s">
        <v>203</v>
      </c>
      <c r="E74" t="s">
        <v>248</v>
      </c>
      <c r="F74">
        <v>3</v>
      </c>
      <c r="G74">
        <v>360.3</v>
      </c>
      <c r="H74">
        <v>355.28</v>
      </c>
      <c r="I74" t="s">
        <v>202</v>
      </c>
    </row>
    <row r="75" spans="1:9" x14ac:dyDescent="0.3">
      <c r="A75">
        <v>6</v>
      </c>
      <c r="B75" t="s">
        <v>97</v>
      </c>
      <c r="C75">
        <v>3</v>
      </c>
      <c r="D75" t="s">
        <v>249</v>
      </c>
      <c r="E75" t="s">
        <v>248</v>
      </c>
      <c r="F75">
        <v>3</v>
      </c>
      <c r="G75">
        <v>180.15</v>
      </c>
      <c r="H75">
        <v>173.03</v>
      </c>
      <c r="I75" t="s">
        <v>202</v>
      </c>
    </row>
    <row r="76" spans="1:9" x14ac:dyDescent="0.3">
      <c r="A76">
        <v>6</v>
      </c>
      <c r="B76" t="s">
        <v>97</v>
      </c>
      <c r="C76">
        <v>4</v>
      </c>
      <c r="D76" t="s">
        <v>250</v>
      </c>
      <c r="E76" t="s">
        <v>248</v>
      </c>
      <c r="F76">
        <v>3</v>
      </c>
      <c r="G76">
        <v>120.1</v>
      </c>
      <c r="H76">
        <v>124.13</v>
      </c>
      <c r="I76" t="s">
        <v>202</v>
      </c>
    </row>
    <row r="77" spans="1:9" x14ac:dyDescent="0.3">
      <c r="A77">
        <v>6</v>
      </c>
      <c r="B77" t="s">
        <v>97</v>
      </c>
      <c r="C77">
        <v>5</v>
      </c>
      <c r="D77" t="s">
        <v>251</v>
      </c>
      <c r="E77" t="s">
        <v>252</v>
      </c>
      <c r="F77">
        <v>3</v>
      </c>
      <c r="G77">
        <v>540.45000000000005</v>
      </c>
      <c r="H77">
        <v>543.61</v>
      </c>
      <c r="I77" t="s">
        <v>202</v>
      </c>
    </row>
    <row r="78" spans="1:9" x14ac:dyDescent="0.3">
      <c r="A78">
        <v>6</v>
      </c>
      <c r="B78" t="s">
        <v>97</v>
      </c>
      <c r="C78">
        <v>6</v>
      </c>
      <c r="D78" t="s">
        <v>253</v>
      </c>
      <c r="E78" t="s">
        <v>252</v>
      </c>
      <c r="F78">
        <v>3</v>
      </c>
      <c r="G78">
        <v>240.2</v>
      </c>
      <c r="H78">
        <v>243.27</v>
      </c>
      <c r="I78" t="s">
        <v>202</v>
      </c>
    </row>
    <row r="79" spans="1:9" x14ac:dyDescent="0.3">
      <c r="A79">
        <v>6</v>
      </c>
      <c r="B79" t="s">
        <v>97</v>
      </c>
      <c r="C79">
        <v>7</v>
      </c>
      <c r="D79" t="s">
        <v>254</v>
      </c>
      <c r="E79" t="s">
        <v>252</v>
      </c>
      <c r="F79">
        <v>3</v>
      </c>
      <c r="G79">
        <v>120.1</v>
      </c>
      <c r="H79">
        <v>121.62</v>
      </c>
      <c r="I79" t="s">
        <v>202</v>
      </c>
    </row>
    <row r="80" spans="1:9" x14ac:dyDescent="0.3">
      <c r="A80">
        <v>6</v>
      </c>
      <c r="B80" t="s">
        <v>97</v>
      </c>
      <c r="C80">
        <v>8</v>
      </c>
      <c r="D80" t="s">
        <v>255</v>
      </c>
      <c r="E80" t="s">
        <v>252</v>
      </c>
      <c r="F80">
        <v>3</v>
      </c>
      <c r="G80">
        <v>90.08</v>
      </c>
      <c r="H80">
        <v>91.71</v>
      </c>
      <c r="I80" t="s">
        <v>202</v>
      </c>
    </row>
    <row r="81" spans="1:9" x14ac:dyDescent="0.3">
      <c r="A81">
        <v>6</v>
      </c>
      <c r="B81" t="s">
        <v>97</v>
      </c>
      <c r="C81">
        <v>2</v>
      </c>
      <c r="D81" t="s">
        <v>203</v>
      </c>
      <c r="E81" t="s">
        <v>248</v>
      </c>
      <c r="F81">
        <v>3</v>
      </c>
      <c r="G81">
        <v>43.24</v>
      </c>
      <c r="H81">
        <v>43.19</v>
      </c>
      <c r="I81" t="s">
        <v>190</v>
      </c>
    </row>
    <row r="82" spans="1:9" x14ac:dyDescent="0.3">
      <c r="A82">
        <v>6</v>
      </c>
      <c r="B82" t="s">
        <v>97</v>
      </c>
      <c r="C82">
        <v>3</v>
      </c>
      <c r="D82" t="s">
        <v>249</v>
      </c>
      <c r="E82" t="s">
        <v>248</v>
      </c>
      <c r="F82">
        <v>3</v>
      </c>
      <c r="G82">
        <v>21.62</v>
      </c>
      <c r="H82">
        <v>20.55</v>
      </c>
      <c r="I82" t="s">
        <v>190</v>
      </c>
    </row>
    <row r="83" spans="1:9" x14ac:dyDescent="0.3">
      <c r="A83">
        <v>6</v>
      </c>
      <c r="B83" t="s">
        <v>97</v>
      </c>
      <c r="C83">
        <v>5</v>
      </c>
      <c r="D83" t="s">
        <v>251</v>
      </c>
      <c r="E83" t="s">
        <v>252</v>
      </c>
      <c r="F83">
        <v>3</v>
      </c>
      <c r="G83">
        <v>64.849999999999994</v>
      </c>
      <c r="H83">
        <v>66.78</v>
      </c>
      <c r="I83" t="s">
        <v>190</v>
      </c>
    </row>
    <row r="84" spans="1:9" x14ac:dyDescent="0.3">
      <c r="A84">
        <v>6</v>
      </c>
      <c r="B84" t="s">
        <v>97</v>
      </c>
      <c r="C84">
        <v>6</v>
      </c>
      <c r="D84" t="s">
        <v>253</v>
      </c>
      <c r="E84" t="s">
        <v>252</v>
      </c>
      <c r="F84">
        <v>3</v>
      </c>
      <c r="G84">
        <v>28.82</v>
      </c>
      <c r="H84">
        <v>29.54</v>
      </c>
      <c r="I84" t="s">
        <v>190</v>
      </c>
    </row>
    <row r="85" spans="1:9" x14ac:dyDescent="0.3">
      <c r="A85">
        <v>6</v>
      </c>
      <c r="B85" t="s">
        <v>97</v>
      </c>
      <c r="C85">
        <v>7</v>
      </c>
      <c r="D85" t="s">
        <v>254</v>
      </c>
      <c r="E85" t="s">
        <v>252</v>
      </c>
      <c r="F85">
        <v>3</v>
      </c>
      <c r="G85">
        <v>14.41</v>
      </c>
      <c r="H85">
        <v>14.41</v>
      </c>
      <c r="I85" t="s">
        <v>190</v>
      </c>
    </row>
    <row r="86" spans="1:9" x14ac:dyDescent="0.3">
      <c r="A86">
        <v>6</v>
      </c>
      <c r="B86" t="s">
        <v>97</v>
      </c>
      <c r="C86">
        <v>8</v>
      </c>
      <c r="D86" t="s">
        <v>255</v>
      </c>
      <c r="E86" t="s">
        <v>252</v>
      </c>
      <c r="F86">
        <v>3</v>
      </c>
      <c r="G86">
        <v>10.81</v>
      </c>
      <c r="H86">
        <v>10.85</v>
      </c>
      <c r="I86" t="s">
        <v>190</v>
      </c>
    </row>
    <row r="87" spans="1:9" x14ac:dyDescent="0.3">
      <c r="A87">
        <v>7</v>
      </c>
      <c r="B87" t="s">
        <v>121</v>
      </c>
      <c r="C87">
        <v>1</v>
      </c>
      <c r="D87" t="s">
        <v>247</v>
      </c>
      <c r="E87" t="s">
        <v>248</v>
      </c>
      <c r="F87">
        <v>2</v>
      </c>
      <c r="G87">
        <v>3888.3</v>
      </c>
      <c r="H87">
        <v>3950.24</v>
      </c>
      <c r="I87" t="s">
        <v>202</v>
      </c>
    </row>
    <row r="88" spans="1:9" x14ac:dyDescent="0.3">
      <c r="A88">
        <v>7</v>
      </c>
      <c r="B88" t="s">
        <v>121</v>
      </c>
      <c r="C88">
        <v>2</v>
      </c>
      <c r="D88" t="s">
        <v>203</v>
      </c>
      <c r="E88" t="s">
        <v>248</v>
      </c>
      <c r="F88">
        <v>2</v>
      </c>
      <c r="G88">
        <v>299.10000000000002</v>
      </c>
      <c r="H88">
        <v>286.12</v>
      </c>
      <c r="I88" t="s">
        <v>202</v>
      </c>
    </row>
    <row r="89" spans="1:9" x14ac:dyDescent="0.3">
      <c r="A89">
        <v>7</v>
      </c>
      <c r="B89" t="s">
        <v>121</v>
      </c>
      <c r="C89">
        <v>3</v>
      </c>
      <c r="D89" t="s">
        <v>249</v>
      </c>
      <c r="E89" t="s">
        <v>248</v>
      </c>
      <c r="F89">
        <v>2</v>
      </c>
      <c r="G89">
        <v>149.55000000000001</v>
      </c>
      <c r="H89">
        <v>153.09</v>
      </c>
      <c r="I89" t="s">
        <v>202</v>
      </c>
    </row>
    <row r="90" spans="1:9" x14ac:dyDescent="0.3">
      <c r="A90">
        <v>7</v>
      </c>
      <c r="B90" t="s">
        <v>121</v>
      </c>
      <c r="C90">
        <v>4</v>
      </c>
      <c r="D90" t="s">
        <v>250</v>
      </c>
      <c r="E90" t="s">
        <v>248</v>
      </c>
      <c r="F90">
        <v>2</v>
      </c>
      <c r="G90">
        <v>99.7</v>
      </c>
      <c r="H90">
        <v>97.23</v>
      </c>
      <c r="I90" t="s">
        <v>202</v>
      </c>
    </row>
    <row r="91" spans="1:9" x14ac:dyDescent="0.3">
      <c r="A91">
        <v>7</v>
      </c>
      <c r="B91" t="s">
        <v>121</v>
      </c>
      <c r="C91">
        <v>5</v>
      </c>
      <c r="D91" t="s">
        <v>251</v>
      </c>
      <c r="E91" t="s">
        <v>252</v>
      </c>
      <c r="F91">
        <v>2</v>
      </c>
      <c r="G91">
        <v>448.65</v>
      </c>
      <c r="H91">
        <v>429.56</v>
      </c>
      <c r="I91" t="s">
        <v>202</v>
      </c>
    </row>
    <row r="92" spans="1:9" x14ac:dyDescent="0.3">
      <c r="A92">
        <v>7</v>
      </c>
      <c r="B92" t="s">
        <v>121</v>
      </c>
      <c r="C92">
        <v>6</v>
      </c>
      <c r="D92" t="s">
        <v>253</v>
      </c>
      <c r="E92" t="s">
        <v>252</v>
      </c>
      <c r="F92">
        <v>2</v>
      </c>
      <c r="G92">
        <v>199.4</v>
      </c>
      <c r="H92">
        <v>194.73</v>
      </c>
      <c r="I92" t="s">
        <v>202</v>
      </c>
    </row>
    <row r="93" spans="1:9" x14ac:dyDescent="0.3">
      <c r="A93">
        <v>7</v>
      </c>
      <c r="B93" t="s">
        <v>121</v>
      </c>
      <c r="C93">
        <v>7</v>
      </c>
      <c r="D93" t="s">
        <v>254</v>
      </c>
      <c r="E93" t="s">
        <v>252</v>
      </c>
      <c r="F93">
        <v>2</v>
      </c>
      <c r="G93">
        <v>99.7</v>
      </c>
      <c r="H93">
        <v>101.99</v>
      </c>
      <c r="I93" t="s">
        <v>202</v>
      </c>
    </row>
    <row r="94" spans="1:9" x14ac:dyDescent="0.3">
      <c r="A94">
        <v>7</v>
      </c>
      <c r="B94" t="s">
        <v>121</v>
      </c>
      <c r="C94">
        <v>8</v>
      </c>
      <c r="D94" t="s">
        <v>255</v>
      </c>
      <c r="E94" t="s">
        <v>252</v>
      </c>
      <c r="F94">
        <v>2</v>
      </c>
      <c r="G94">
        <v>74.77</v>
      </c>
      <c r="H94">
        <v>72.569999999999993</v>
      </c>
      <c r="I94" t="s">
        <v>202</v>
      </c>
    </row>
    <row r="95" spans="1:9" x14ac:dyDescent="0.3">
      <c r="A95">
        <v>7</v>
      </c>
      <c r="B95" t="s">
        <v>121</v>
      </c>
      <c r="C95">
        <v>2</v>
      </c>
      <c r="D95" t="s">
        <v>203</v>
      </c>
      <c r="E95" t="s">
        <v>248</v>
      </c>
      <c r="F95">
        <v>2</v>
      </c>
      <c r="G95">
        <v>35.89</v>
      </c>
      <c r="H95">
        <v>36.75</v>
      </c>
      <c r="I95" t="s">
        <v>190</v>
      </c>
    </row>
    <row r="96" spans="1:9" x14ac:dyDescent="0.3">
      <c r="A96">
        <v>7</v>
      </c>
      <c r="B96" t="s">
        <v>121</v>
      </c>
      <c r="C96">
        <v>3</v>
      </c>
      <c r="D96" t="s">
        <v>249</v>
      </c>
      <c r="E96" t="s">
        <v>248</v>
      </c>
      <c r="F96">
        <v>2</v>
      </c>
      <c r="G96">
        <v>17.95</v>
      </c>
      <c r="H96">
        <v>18.8</v>
      </c>
      <c r="I96" t="s">
        <v>190</v>
      </c>
    </row>
    <row r="97" spans="1:9" x14ac:dyDescent="0.3">
      <c r="A97">
        <v>7</v>
      </c>
      <c r="B97" t="s">
        <v>121</v>
      </c>
      <c r="C97">
        <v>5</v>
      </c>
      <c r="D97" t="s">
        <v>251</v>
      </c>
      <c r="E97" t="s">
        <v>252</v>
      </c>
      <c r="F97">
        <v>2</v>
      </c>
      <c r="G97">
        <v>53.84</v>
      </c>
      <c r="H97">
        <v>53.81</v>
      </c>
      <c r="I97" t="s">
        <v>190</v>
      </c>
    </row>
    <row r="98" spans="1:9" x14ac:dyDescent="0.3">
      <c r="A98">
        <v>7</v>
      </c>
      <c r="B98" t="s">
        <v>121</v>
      </c>
      <c r="C98">
        <v>6</v>
      </c>
      <c r="D98" t="s">
        <v>253</v>
      </c>
      <c r="E98" t="s">
        <v>252</v>
      </c>
      <c r="F98">
        <v>2</v>
      </c>
      <c r="G98">
        <v>23.93</v>
      </c>
      <c r="H98">
        <v>23.65</v>
      </c>
      <c r="I98" t="s">
        <v>190</v>
      </c>
    </row>
    <row r="99" spans="1:9" x14ac:dyDescent="0.3">
      <c r="A99">
        <v>7</v>
      </c>
      <c r="B99" t="s">
        <v>121</v>
      </c>
      <c r="C99">
        <v>7</v>
      </c>
      <c r="D99" t="s">
        <v>254</v>
      </c>
      <c r="E99" t="s">
        <v>252</v>
      </c>
      <c r="F99">
        <v>2</v>
      </c>
      <c r="G99">
        <v>11.96</v>
      </c>
      <c r="H99">
        <v>11.93</v>
      </c>
      <c r="I99" t="s">
        <v>190</v>
      </c>
    </row>
    <row r="100" spans="1:9" x14ac:dyDescent="0.3">
      <c r="A100">
        <v>7</v>
      </c>
      <c r="B100" t="s">
        <v>121</v>
      </c>
      <c r="C100">
        <v>8</v>
      </c>
      <c r="D100" t="s">
        <v>255</v>
      </c>
      <c r="E100" t="s">
        <v>252</v>
      </c>
      <c r="F100">
        <v>2</v>
      </c>
      <c r="G100">
        <v>8.9700000000000006</v>
      </c>
      <c r="H100">
        <v>9.1300000000000008</v>
      </c>
      <c r="I100" t="s">
        <v>190</v>
      </c>
    </row>
    <row r="101" spans="1:9" x14ac:dyDescent="0.3">
      <c r="A101">
        <v>8</v>
      </c>
      <c r="B101" t="s">
        <v>133</v>
      </c>
      <c r="C101">
        <v>1</v>
      </c>
      <c r="D101" t="s">
        <v>247</v>
      </c>
      <c r="E101" t="s">
        <v>248</v>
      </c>
      <c r="F101">
        <v>1</v>
      </c>
      <c r="G101">
        <v>2234.6999999999998</v>
      </c>
      <c r="H101">
        <v>2294.36</v>
      </c>
      <c r="I101" t="s">
        <v>202</v>
      </c>
    </row>
    <row r="102" spans="1:9" x14ac:dyDescent="0.3">
      <c r="A102">
        <v>8</v>
      </c>
      <c r="B102" t="s">
        <v>133</v>
      </c>
      <c r="C102">
        <v>2</v>
      </c>
      <c r="D102" t="s">
        <v>203</v>
      </c>
      <c r="E102" t="s">
        <v>248</v>
      </c>
      <c r="F102">
        <v>1</v>
      </c>
      <c r="G102">
        <v>171.9</v>
      </c>
      <c r="H102">
        <v>173.91</v>
      </c>
      <c r="I102" t="s">
        <v>202</v>
      </c>
    </row>
    <row r="103" spans="1:9" x14ac:dyDescent="0.3">
      <c r="A103">
        <v>8</v>
      </c>
      <c r="B103" t="s">
        <v>133</v>
      </c>
      <c r="C103">
        <v>3</v>
      </c>
      <c r="D103" t="s">
        <v>249</v>
      </c>
      <c r="E103" t="s">
        <v>248</v>
      </c>
      <c r="F103">
        <v>1</v>
      </c>
      <c r="G103">
        <v>85.95</v>
      </c>
      <c r="H103">
        <v>87.18</v>
      </c>
      <c r="I103" t="s">
        <v>202</v>
      </c>
    </row>
    <row r="104" spans="1:9" x14ac:dyDescent="0.3">
      <c r="A104">
        <v>8</v>
      </c>
      <c r="B104" t="s">
        <v>133</v>
      </c>
      <c r="C104">
        <v>4</v>
      </c>
      <c r="D104" t="s">
        <v>250</v>
      </c>
      <c r="E104" t="s">
        <v>248</v>
      </c>
      <c r="F104">
        <v>1</v>
      </c>
      <c r="G104">
        <v>57.3</v>
      </c>
      <c r="H104">
        <v>54.88</v>
      </c>
      <c r="I104" t="s">
        <v>202</v>
      </c>
    </row>
    <row r="105" spans="1:9" x14ac:dyDescent="0.3">
      <c r="A105">
        <v>8</v>
      </c>
      <c r="B105" t="s">
        <v>133</v>
      </c>
      <c r="C105">
        <v>5</v>
      </c>
      <c r="D105" t="s">
        <v>251</v>
      </c>
      <c r="E105" t="s">
        <v>252</v>
      </c>
      <c r="F105">
        <v>1</v>
      </c>
      <c r="G105">
        <v>257.85000000000002</v>
      </c>
      <c r="H105">
        <v>248.76</v>
      </c>
      <c r="I105" t="s">
        <v>202</v>
      </c>
    </row>
    <row r="106" spans="1:9" x14ac:dyDescent="0.3">
      <c r="A106">
        <v>8</v>
      </c>
      <c r="B106" t="s">
        <v>133</v>
      </c>
      <c r="C106">
        <v>6</v>
      </c>
      <c r="D106" t="s">
        <v>253</v>
      </c>
      <c r="E106" t="s">
        <v>252</v>
      </c>
      <c r="F106">
        <v>1</v>
      </c>
      <c r="G106">
        <v>114.6</v>
      </c>
      <c r="H106">
        <v>111.78</v>
      </c>
      <c r="I106" t="s">
        <v>202</v>
      </c>
    </row>
    <row r="107" spans="1:9" x14ac:dyDescent="0.3">
      <c r="A107">
        <v>8</v>
      </c>
      <c r="B107" t="s">
        <v>133</v>
      </c>
      <c r="C107">
        <v>7</v>
      </c>
      <c r="D107" t="s">
        <v>254</v>
      </c>
      <c r="E107" t="s">
        <v>252</v>
      </c>
      <c r="F107">
        <v>1</v>
      </c>
      <c r="G107">
        <v>57.3</v>
      </c>
      <c r="H107">
        <v>58.69</v>
      </c>
      <c r="I107" t="s">
        <v>202</v>
      </c>
    </row>
    <row r="108" spans="1:9" x14ac:dyDescent="0.3">
      <c r="A108">
        <v>8</v>
      </c>
      <c r="B108" t="s">
        <v>133</v>
      </c>
      <c r="C108">
        <v>8</v>
      </c>
      <c r="D108" t="s">
        <v>255</v>
      </c>
      <c r="E108" t="s">
        <v>252</v>
      </c>
      <c r="F108">
        <v>1</v>
      </c>
      <c r="G108">
        <v>42.98</v>
      </c>
      <c r="H108">
        <v>42.14</v>
      </c>
      <c r="I108" t="s">
        <v>202</v>
      </c>
    </row>
    <row r="109" spans="1:9" x14ac:dyDescent="0.3">
      <c r="A109">
        <v>8</v>
      </c>
      <c r="B109" t="s">
        <v>133</v>
      </c>
      <c r="C109">
        <v>2</v>
      </c>
      <c r="D109" t="s">
        <v>203</v>
      </c>
      <c r="E109" t="s">
        <v>248</v>
      </c>
      <c r="F109">
        <v>1</v>
      </c>
      <c r="G109">
        <v>20.63</v>
      </c>
      <c r="H109">
        <v>20.77</v>
      </c>
      <c r="I109" t="s">
        <v>190</v>
      </c>
    </row>
    <row r="110" spans="1:9" x14ac:dyDescent="0.3">
      <c r="A110">
        <v>8</v>
      </c>
      <c r="B110" t="s">
        <v>133</v>
      </c>
      <c r="C110">
        <v>3</v>
      </c>
      <c r="D110" t="s">
        <v>249</v>
      </c>
      <c r="E110" t="s">
        <v>248</v>
      </c>
      <c r="F110">
        <v>1</v>
      </c>
      <c r="G110">
        <v>10.31</v>
      </c>
      <c r="H110">
        <v>9.81</v>
      </c>
      <c r="I110" t="s">
        <v>190</v>
      </c>
    </row>
    <row r="111" spans="1:9" x14ac:dyDescent="0.3">
      <c r="A111">
        <v>8</v>
      </c>
      <c r="B111" t="s">
        <v>133</v>
      </c>
      <c r="C111">
        <v>5</v>
      </c>
      <c r="D111" t="s">
        <v>251</v>
      </c>
      <c r="E111" t="s">
        <v>252</v>
      </c>
      <c r="F111">
        <v>1</v>
      </c>
      <c r="G111">
        <v>30.94</v>
      </c>
      <c r="H111">
        <v>29.58</v>
      </c>
      <c r="I111" t="s">
        <v>190</v>
      </c>
    </row>
    <row r="112" spans="1:9" x14ac:dyDescent="0.3">
      <c r="A112">
        <v>8</v>
      </c>
      <c r="B112" t="s">
        <v>133</v>
      </c>
      <c r="C112">
        <v>6</v>
      </c>
      <c r="D112" t="s">
        <v>253</v>
      </c>
      <c r="E112" t="s">
        <v>252</v>
      </c>
      <c r="F112">
        <v>1</v>
      </c>
      <c r="G112">
        <v>13.75</v>
      </c>
      <c r="H112">
        <v>13.43</v>
      </c>
      <c r="I112" t="s">
        <v>190</v>
      </c>
    </row>
    <row r="113" spans="1:9" x14ac:dyDescent="0.3">
      <c r="A113">
        <v>8</v>
      </c>
      <c r="B113" t="s">
        <v>133</v>
      </c>
      <c r="C113">
        <v>7</v>
      </c>
      <c r="D113" t="s">
        <v>254</v>
      </c>
      <c r="E113" t="s">
        <v>252</v>
      </c>
      <c r="F113">
        <v>1</v>
      </c>
      <c r="G113">
        <v>6.88</v>
      </c>
      <c r="H113">
        <v>7</v>
      </c>
      <c r="I113" t="s">
        <v>190</v>
      </c>
    </row>
    <row r="114" spans="1:9" x14ac:dyDescent="0.3">
      <c r="A114">
        <v>8</v>
      </c>
      <c r="B114" t="s">
        <v>133</v>
      </c>
      <c r="C114">
        <v>8</v>
      </c>
      <c r="D114" t="s">
        <v>255</v>
      </c>
      <c r="E114" t="s">
        <v>252</v>
      </c>
      <c r="F114">
        <v>1</v>
      </c>
      <c r="G114">
        <v>5.16</v>
      </c>
      <c r="H114">
        <v>5.26</v>
      </c>
      <c r="I114" t="s">
        <v>190</v>
      </c>
    </row>
    <row r="115" spans="1:9" x14ac:dyDescent="0.3">
      <c r="A115">
        <v>9</v>
      </c>
      <c r="B115" t="s">
        <v>165</v>
      </c>
      <c r="C115">
        <v>1</v>
      </c>
      <c r="D115" t="s">
        <v>247</v>
      </c>
      <c r="E115" t="s">
        <v>248</v>
      </c>
      <c r="F115">
        <v>1</v>
      </c>
      <c r="G115">
        <v>1786.2</v>
      </c>
      <c r="H115">
        <v>1817.58</v>
      </c>
      <c r="I115" t="s">
        <v>202</v>
      </c>
    </row>
    <row r="116" spans="1:9" x14ac:dyDescent="0.3">
      <c r="A116">
        <v>9</v>
      </c>
      <c r="B116" t="s">
        <v>165</v>
      </c>
      <c r="C116">
        <v>2</v>
      </c>
      <c r="D116" t="s">
        <v>203</v>
      </c>
      <c r="E116" t="s">
        <v>248</v>
      </c>
      <c r="F116">
        <v>1</v>
      </c>
      <c r="G116">
        <v>137.4</v>
      </c>
      <c r="H116">
        <v>134.53</v>
      </c>
      <c r="I116" t="s">
        <v>202</v>
      </c>
    </row>
    <row r="117" spans="1:9" x14ac:dyDescent="0.3">
      <c r="A117">
        <v>9</v>
      </c>
      <c r="B117" t="s">
        <v>165</v>
      </c>
      <c r="C117">
        <v>3</v>
      </c>
      <c r="D117" t="s">
        <v>249</v>
      </c>
      <c r="E117" t="s">
        <v>248</v>
      </c>
      <c r="F117">
        <v>1</v>
      </c>
      <c r="G117">
        <v>68.7</v>
      </c>
      <c r="H117">
        <v>68.81</v>
      </c>
      <c r="I117" t="s">
        <v>202</v>
      </c>
    </row>
    <row r="118" spans="1:9" x14ac:dyDescent="0.3">
      <c r="A118">
        <v>9</v>
      </c>
      <c r="B118" t="s">
        <v>165</v>
      </c>
      <c r="C118">
        <v>4</v>
      </c>
      <c r="D118" t="s">
        <v>250</v>
      </c>
      <c r="E118" t="s">
        <v>248</v>
      </c>
      <c r="F118">
        <v>1</v>
      </c>
      <c r="G118">
        <v>45.8</v>
      </c>
      <c r="H118">
        <v>45.64</v>
      </c>
      <c r="I118" t="s">
        <v>202</v>
      </c>
    </row>
    <row r="119" spans="1:9" x14ac:dyDescent="0.3">
      <c r="A119">
        <v>9</v>
      </c>
      <c r="B119" t="s">
        <v>165</v>
      </c>
      <c r="C119">
        <v>5</v>
      </c>
      <c r="D119" t="s">
        <v>251</v>
      </c>
      <c r="E119" t="s">
        <v>252</v>
      </c>
      <c r="F119">
        <v>1</v>
      </c>
      <c r="G119">
        <v>206.1</v>
      </c>
      <c r="H119">
        <v>205.41</v>
      </c>
      <c r="I119" t="s">
        <v>202</v>
      </c>
    </row>
    <row r="120" spans="1:9" x14ac:dyDescent="0.3">
      <c r="A120">
        <v>9</v>
      </c>
      <c r="B120" t="s">
        <v>165</v>
      </c>
      <c r="C120">
        <v>6</v>
      </c>
      <c r="D120" t="s">
        <v>253</v>
      </c>
      <c r="E120" t="s">
        <v>252</v>
      </c>
      <c r="F120">
        <v>1</v>
      </c>
      <c r="G120">
        <v>91.6</v>
      </c>
      <c r="H120">
        <v>88.11</v>
      </c>
      <c r="I120" t="s">
        <v>202</v>
      </c>
    </row>
    <row r="121" spans="1:9" x14ac:dyDescent="0.3">
      <c r="A121">
        <v>9</v>
      </c>
      <c r="B121" t="s">
        <v>165</v>
      </c>
      <c r="C121">
        <v>7</v>
      </c>
      <c r="D121" t="s">
        <v>254</v>
      </c>
      <c r="E121" t="s">
        <v>252</v>
      </c>
      <c r="F121">
        <v>1</v>
      </c>
      <c r="G121">
        <v>45.8</v>
      </c>
      <c r="H121">
        <v>47.6</v>
      </c>
      <c r="I121" t="s">
        <v>202</v>
      </c>
    </row>
    <row r="122" spans="1:9" x14ac:dyDescent="0.3">
      <c r="A122">
        <v>9</v>
      </c>
      <c r="B122" t="s">
        <v>165</v>
      </c>
      <c r="C122">
        <v>8</v>
      </c>
      <c r="D122" t="s">
        <v>255</v>
      </c>
      <c r="E122" t="s">
        <v>252</v>
      </c>
      <c r="F122">
        <v>1</v>
      </c>
      <c r="G122">
        <v>34.35</v>
      </c>
      <c r="H122">
        <v>33.32</v>
      </c>
      <c r="I122" t="s">
        <v>202</v>
      </c>
    </row>
    <row r="123" spans="1:9" x14ac:dyDescent="0.3">
      <c r="A123">
        <v>9</v>
      </c>
      <c r="B123" t="s">
        <v>165</v>
      </c>
      <c r="C123">
        <v>2</v>
      </c>
      <c r="D123" t="s">
        <v>203</v>
      </c>
      <c r="E123" t="s">
        <v>248</v>
      </c>
      <c r="F123">
        <v>1</v>
      </c>
      <c r="G123">
        <v>16.489999999999998</v>
      </c>
      <c r="H123">
        <v>17.28</v>
      </c>
      <c r="I123" t="s">
        <v>190</v>
      </c>
    </row>
    <row r="124" spans="1:9" x14ac:dyDescent="0.3">
      <c r="A124">
        <v>9</v>
      </c>
      <c r="B124" t="s">
        <v>165</v>
      </c>
      <c r="C124">
        <v>3</v>
      </c>
      <c r="D124" t="s">
        <v>249</v>
      </c>
      <c r="E124" t="s">
        <v>248</v>
      </c>
      <c r="F124">
        <v>1</v>
      </c>
      <c r="G124">
        <v>8.24</v>
      </c>
      <c r="H124">
        <v>8.6</v>
      </c>
      <c r="I124" t="s">
        <v>190</v>
      </c>
    </row>
    <row r="125" spans="1:9" x14ac:dyDescent="0.3">
      <c r="A125">
        <v>9</v>
      </c>
      <c r="B125" t="s">
        <v>165</v>
      </c>
      <c r="C125">
        <v>5</v>
      </c>
      <c r="D125" t="s">
        <v>251</v>
      </c>
      <c r="E125" t="s">
        <v>252</v>
      </c>
      <c r="F125">
        <v>1</v>
      </c>
      <c r="G125">
        <v>24.73</v>
      </c>
      <c r="H125">
        <v>23.54</v>
      </c>
      <c r="I125" t="s">
        <v>190</v>
      </c>
    </row>
    <row r="126" spans="1:9" x14ac:dyDescent="0.3">
      <c r="A126">
        <v>9</v>
      </c>
      <c r="B126" t="s">
        <v>165</v>
      </c>
      <c r="C126">
        <v>6</v>
      </c>
      <c r="D126" t="s">
        <v>253</v>
      </c>
      <c r="E126" t="s">
        <v>252</v>
      </c>
      <c r="F126">
        <v>1</v>
      </c>
      <c r="G126">
        <v>10.99</v>
      </c>
      <c r="H126">
        <v>10.94</v>
      </c>
      <c r="I126" t="s">
        <v>190</v>
      </c>
    </row>
    <row r="127" spans="1:9" x14ac:dyDescent="0.3">
      <c r="A127">
        <v>9</v>
      </c>
      <c r="B127" t="s">
        <v>165</v>
      </c>
      <c r="C127">
        <v>7</v>
      </c>
      <c r="D127" t="s">
        <v>254</v>
      </c>
      <c r="E127" t="s">
        <v>252</v>
      </c>
      <c r="F127">
        <v>1</v>
      </c>
      <c r="G127">
        <v>5.5</v>
      </c>
      <c r="H127">
        <v>5.68</v>
      </c>
      <c r="I127" t="s">
        <v>190</v>
      </c>
    </row>
    <row r="128" spans="1:9" x14ac:dyDescent="0.3">
      <c r="A128">
        <v>9</v>
      </c>
      <c r="B128" t="s">
        <v>165</v>
      </c>
      <c r="C128">
        <v>8</v>
      </c>
      <c r="D128" t="s">
        <v>255</v>
      </c>
      <c r="E128" t="s">
        <v>252</v>
      </c>
      <c r="F128">
        <v>1</v>
      </c>
      <c r="G128">
        <v>4.12</v>
      </c>
      <c r="H128">
        <v>4.3099999999999996</v>
      </c>
      <c r="I128" t="s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RowHeight="14.4" x14ac:dyDescent="0.3"/>
  <cols>
    <col min="1" max="1" width="16" customWidth="1"/>
    <col min="2" max="2" width="26" customWidth="1"/>
    <col min="3" max="3" width="12" customWidth="1"/>
    <col min="4" max="5" width="16" customWidth="1"/>
    <col min="6" max="6" width="14" customWidth="1"/>
  </cols>
  <sheetData>
    <row r="1" spans="1:6" ht="15.6" customHeight="1" x14ac:dyDescent="0.3">
      <c r="A1" s="7" t="s">
        <v>256</v>
      </c>
    </row>
    <row r="2" spans="1:6" x14ac:dyDescent="0.3">
      <c r="A2" s="10" t="s">
        <v>181</v>
      </c>
      <c r="B2" s="10" t="s">
        <v>7</v>
      </c>
      <c r="C2" s="10" t="s">
        <v>184</v>
      </c>
      <c r="D2" s="10" t="s">
        <v>257</v>
      </c>
      <c r="E2" s="10" t="s">
        <v>258</v>
      </c>
      <c r="F2" s="10" t="s">
        <v>259</v>
      </c>
    </row>
    <row r="3" spans="1:6" x14ac:dyDescent="0.3">
      <c r="A3">
        <v>1</v>
      </c>
      <c r="B3" t="s">
        <v>48</v>
      </c>
      <c r="C3" t="s">
        <v>202</v>
      </c>
      <c r="D3">
        <f>SUMIFS(Rubricas_Folha!$H$3:$H$128,Rubricas_Folha!$B$3:$B$128,B3,Rubricas_Folha!$E$3:$E$128,"Provento",Rubricas_Folha!$I$3:$I$128,C3)</f>
        <v>11109.03</v>
      </c>
      <c r="E3">
        <f>SUMIFS(Rubricas_Folha!$H$3:$H$128,Rubricas_Folha!$B$3:$B$128,B3,Rubricas_Folha!$E$3:$E$128,"Desconto",Rubricas_Folha!$I$3:$I$128,C3)</f>
        <v>2034.77</v>
      </c>
      <c r="F3">
        <f t="shared" ref="F3:F20" si="0">D3-E3</f>
        <v>9074.26</v>
      </c>
    </row>
    <row r="4" spans="1:6" x14ac:dyDescent="0.3">
      <c r="A4">
        <v>1</v>
      </c>
      <c r="B4" t="s">
        <v>48</v>
      </c>
      <c r="C4" t="s">
        <v>190</v>
      </c>
      <c r="D4">
        <f>SUMIFS(Rubricas_Folha!$H$3:$H$128,Rubricas_Folha!$B$3:$B$128,B4,Rubricas_Folha!$E$3:$E$128,"Provento",Rubricas_Folha!$I$3:$I$128,C4)</f>
        <v>134.18</v>
      </c>
      <c r="E4">
        <f>SUMIFS(Rubricas_Folha!$H$3:$H$128,Rubricas_Folha!$B$3:$B$128,B4,Rubricas_Folha!$E$3:$E$128,"Desconto",Rubricas_Folha!$I$3:$I$128,C4)</f>
        <v>254.89</v>
      </c>
      <c r="F4">
        <f t="shared" si="0"/>
        <v>-120.70999999999998</v>
      </c>
    </row>
    <row r="5" spans="1:6" x14ac:dyDescent="0.3">
      <c r="A5">
        <v>2</v>
      </c>
      <c r="B5" t="s">
        <v>55</v>
      </c>
      <c r="C5" t="s">
        <v>202</v>
      </c>
      <c r="D5">
        <f>SUMIFS(Rubricas_Folha!$H$3:$H$128,Rubricas_Folha!$B$3:$B$128,B5,Rubricas_Folha!$E$3:$E$128,"Provento",Rubricas_Folha!$I$3:$I$128,C5)</f>
        <v>17781.129999999997</v>
      </c>
      <c r="E5">
        <f>SUMIFS(Rubricas_Folha!$H$3:$H$128,Rubricas_Folha!$B$3:$B$128,B5,Rubricas_Folha!$E$3:$E$128,"Desconto",Rubricas_Folha!$I$3:$I$128,C5)</f>
        <v>3377.61</v>
      </c>
      <c r="F5">
        <f t="shared" si="0"/>
        <v>14403.519999999997</v>
      </c>
    </row>
    <row r="6" spans="1:6" x14ac:dyDescent="0.3">
      <c r="A6">
        <v>2</v>
      </c>
      <c r="B6" t="s">
        <v>55</v>
      </c>
      <c r="C6" t="s">
        <v>190</v>
      </c>
      <c r="D6">
        <f>SUMIFS(Rubricas_Folha!$H$3:$H$128,Rubricas_Folha!$B$3:$B$128,B6,Rubricas_Folha!$E$3:$E$128,"Provento",Rubricas_Folha!$I$3:$I$128,C6)</f>
        <v>219.78000000000003</v>
      </c>
      <c r="E6">
        <f>SUMIFS(Rubricas_Folha!$H$3:$H$128,Rubricas_Folha!$B$3:$B$128,B6,Rubricas_Folha!$E$3:$E$128,"Desconto",Rubricas_Folha!$I$3:$I$128,C6)</f>
        <v>395.04999999999995</v>
      </c>
      <c r="F6">
        <f t="shared" si="0"/>
        <v>-175.26999999999992</v>
      </c>
    </row>
    <row r="7" spans="1:6" x14ac:dyDescent="0.3">
      <c r="A7">
        <v>3</v>
      </c>
      <c r="B7" t="s">
        <v>61</v>
      </c>
      <c r="C7" t="s">
        <v>202</v>
      </c>
      <c r="D7">
        <f>SUMIFS(Rubricas_Folha!$H$3:$H$128,Rubricas_Folha!$B$3:$B$128,B7,Rubricas_Folha!$E$3:$E$128,"Provento",Rubricas_Folha!$I$3:$I$128,C7)</f>
        <v>10787.759999999998</v>
      </c>
      <c r="E7">
        <f>SUMIFS(Rubricas_Folha!$H$3:$H$128,Rubricas_Folha!$B$3:$B$128,B7,Rubricas_Folha!$E$3:$E$128,"Desconto",Rubricas_Folha!$I$3:$I$128,C7)</f>
        <v>1928.94</v>
      </c>
      <c r="F7">
        <f t="shared" si="0"/>
        <v>8858.8199999999979</v>
      </c>
    </row>
    <row r="8" spans="1:6" x14ac:dyDescent="0.3">
      <c r="A8">
        <v>3</v>
      </c>
      <c r="B8" t="s">
        <v>61</v>
      </c>
      <c r="C8" t="s">
        <v>190</v>
      </c>
      <c r="D8">
        <f>SUMIFS(Rubricas_Folha!$H$3:$H$128,Rubricas_Folha!$B$3:$B$128,B8,Rubricas_Folha!$E$3:$E$128,"Provento",Rubricas_Folha!$I$3:$I$128,C8)</f>
        <v>125.23</v>
      </c>
      <c r="E8">
        <f>SUMIFS(Rubricas_Folha!$H$3:$H$128,Rubricas_Folha!$B$3:$B$128,B8,Rubricas_Folha!$E$3:$E$128,"Desconto",Rubricas_Folha!$I$3:$I$128,C8)</f>
        <v>236.95</v>
      </c>
      <c r="F8">
        <f t="shared" si="0"/>
        <v>-111.71999999999998</v>
      </c>
    </row>
    <row r="9" spans="1:6" x14ac:dyDescent="0.3">
      <c r="A9">
        <v>4</v>
      </c>
      <c r="B9" t="s">
        <v>67</v>
      </c>
      <c r="C9" t="s">
        <v>202</v>
      </c>
      <c r="D9">
        <f>SUMIFS(Rubricas_Folha!$H$3:$H$128,Rubricas_Folha!$B$3:$B$128,B9,Rubricas_Folha!$E$3:$E$128,"Provento",Rubricas_Folha!$I$3:$I$128,C9)</f>
        <v>4723.62</v>
      </c>
      <c r="E9">
        <f>SUMIFS(Rubricas_Folha!$H$3:$H$128,Rubricas_Folha!$B$3:$B$128,B9,Rubricas_Folha!$E$3:$E$128,"Desconto",Rubricas_Folha!$I$3:$I$128,C9)</f>
        <v>848.25</v>
      </c>
      <c r="F9">
        <f t="shared" si="0"/>
        <v>3875.37</v>
      </c>
    </row>
    <row r="10" spans="1:6" x14ac:dyDescent="0.3">
      <c r="A10">
        <v>4</v>
      </c>
      <c r="B10" t="s">
        <v>67</v>
      </c>
      <c r="C10" t="s">
        <v>190</v>
      </c>
      <c r="D10">
        <f>SUMIFS(Rubricas_Folha!$H$3:$H$128,Rubricas_Folha!$B$3:$B$128,B10,Rubricas_Folha!$E$3:$E$128,"Provento",Rubricas_Folha!$I$3:$I$128,C10)</f>
        <v>57.06</v>
      </c>
      <c r="E10">
        <f>SUMIFS(Rubricas_Folha!$H$3:$H$128,Rubricas_Folha!$B$3:$B$128,B10,Rubricas_Folha!$E$3:$E$128,"Desconto",Rubricas_Folha!$I$3:$I$128,C10)</f>
        <v>101.44</v>
      </c>
      <c r="F10">
        <f t="shared" si="0"/>
        <v>-44.379999999999995</v>
      </c>
    </row>
    <row r="11" spans="1:6" x14ac:dyDescent="0.3">
      <c r="A11">
        <v>5</v>
      </c>
      <c r="B11" t="s">
        <v>73</v>
      </c>
      <c r="C11" t="s">
        <v>202</v>
      </c>
      <c r="D11">
        <f>SUMIFS(Rubricas_Folha!$H$3:$H$128,Rubricas_Folha!$B$3:$B$128,B11,Rubricas_Folha!$E$3:$E$128,"Provento",Rubricas_Folha!$I$3:$I$128,C11)</f>
        <v>30690.51</v>
      </c>
      <c r="E11">
        <f>SUMIFS(Rubricas_Folha!$H$3:$H$128,Rubricas_Folha!$B$3:$B$128,B11,Rubricas_Folha!$E$3:$E$128,"Desconto",Rubricas_Folha!$I$3:$I$128,C11)</f>
        <v>5654.0600000000013</v>
      </c>
      <c r="F11">
        <f t="shared" si="0"/>
        <v>25036.449999999997</v>
      </c>
    </row>
    <row r="12" spans="1:6" x14ac:dyDescent="0.3">
      <c r="A12">
        <v>5</v>
      </c>
      <c r="B12" t="s">
        <v>73</v>
      </c>
      <c r="C12" t="s">
        <v>190</v>
      </c>
      <c r="D12">
        <f>SUMIFS(Rubricas_Folha!$H$3:$H$128,Rubricas_Folha!$B$3:$B$128,B12,Rubricas_Folha!$E$3:$E$128,"Provento",Rubricas_Folha!$I$3:$I$128,C12)</f>
        <v>371.42</v>
      </c>
      <c r="E12">
        <f>SUMIFS(Rubricas_Folha!$H$3:$H$128,Rubricas_Folha!$B$3:$B$128,B12,Rubricas_Folha!$E$3:$E$128,"Desconto",Rubricas_Folha!$I$3:$I$128,C12)</f>
        <v>673.21</v>
      </c>
      <c r="F12">
        <f t="shared" si="0"/>
        <v>-301.79000000000002</v>
      </c>
    </row>
    <row r="13" spans="1:6" x14ac:dyDescent="0.3">
      <c r="A13">
        <v>6</v>
      </c>
      <c r="B13" t="s">
        <v>97</v>
      </c>
      <c r="C13" t="s">
        <v>202</v>
      </c>
      <c r="D13">
        <f>SUMIFS(Rubricas_Folha!$H$3:$H$128,Rubricas_Folha!$B$3:$B$128,B13,Rubricas_Folha!$E$3:$E$128,"Provento",Rubricas_Folha!$I$3:$I$128,C13)</f>
        <v>5164.4799999999996</v>
      </c>
      <c r="E13">
        <f>SUMIFS(Rubricas_Folha!$H$3:$H$128,Rubricas_Folha!$B$3:$B$128,B13,Rubricas_Folha!$E$3:$E$128,"Desconto",Rubricas_Folha!$I$3:$I$128,C13)</f>
        <v>1000.21</v>
      </c>
      <c r="F13">
        <f t="shared" si="0"/>
        <v>4164.2699999999995</v>
      </c>
    </row>
    <row r="14" spans="1:6" x14ac:dyDescent="0.3">
      <c r="A14">
        <v>6</v>
      </c>
      <c r="B14" t="s">
        <v>97</v>
      </c>
      <c r="C14" t="s">
        <v>190</v>
      </c>
      <c r="D14">
        <f>SUMIFS(Rubricas_Folha!$H$3:$H$128,Rubricas_Folha!$B$3:$B$128,B14,Rubricas_Folha!$E$3:$E$128,"Provento",Rubricas_Folha!$I$3:$I$128,C14)</f>
        <v>63.739999999999995</v>
      </c>
      <c r="E14">
        <f>SUMIFS(Rubricas_Folha!$H$3:$H$128,Rubricas_Folha!$B$3:$B$128,B14,Rubricas_Folha!$E$3:$E$128,"Desconto",Rubricas_Folha!$I$3:$I$128,C14)</f>
        <v>121.57999999999998</v>
      </c>
      <c r="F14">
        <f t="shared" si="0"/>
        <v>-57.839999999999989</v>
      </c>
    </row>
    <row r="15" spans="1:6" x14ac:dyDescent="0.3">
      <c r="A15">
        <v>7</v>
      </c>
      <c r="B15" t="s">
        <v>121</v>
      </c>
      <c r="C15" t="s">
        <v>202</v>
      </c>
      <c r="D15">
        <f>SUMIFS(Rubricas_Folha!$H$3:$H$128,Rubricas_Folha!$B$3:$B$128,B15,Rubricas_Folha!$E$3:$E$128,"Provento",Rubricas_Folha!$I$3:$I$128,C15)</f>
        <v>4486.6799999999994</v>
      </c>
      <c r="E15">
        <f>SUMIFS(Rubricas_Folha!$H$3:$H$128,Rubricas_Folha!$B$3:$B$128,B15,Rubricas_Folha!$E$3:$E$128,"Desconto",Rubricas_Folha!$I$3:$I$128,C15)</f>
        <v>798.84999999999991</v>
      </c>
      <c r="F15">
        <f t="shared" si="0"/>
        <v>3687.8299999999995</v>
      </c>
    </row>
    <row r="16" spans="1:6" x14ac:dyDescent="0.3">
      <c r="A16">
        <v>7</v>
      </c>
      <c r="B16" t="s">
        <v>121</v>
      </c>
      <c r="C16" t="s">
        <v>190</v>
      </c>
      <c r="D16">
        <f>SUMIFS(Rubricas_Folha!$H$3:$H$128,Rubricas_Folha!$B$3:$B$128,B16,Rubricas_Folha!$E$3:$E$128,"Provento",Rubricas_Folha!$I$3:$I$128,C16)</f>
        <v>55.55</v>
      </c>
      <c r="E16">
        <f>SUMIFS(Rubricas_Folha!$H$3:$H$128,Rubricas_Folha!$B$3:$B$128,B16,Rubricas_Folha!$E$3:$E$128,"Desconto",Rubricas_Folha!$I$3:$I$128,C16)</f>
        <v>98.52000000000001</v>
      </c>
      <c r="F16">
        <f t="shared" si="0"/>
        <v>-42.970000000000013</v>
      </c>
    </row>
    <row r="17" spans="1:6" x14ac:dyDescent="0.3">
      <c r="A17">
        <v>8</v>
      </c>
      <c r="B17" t="s">
        <v>133</v>
      </c>
      <c r="C17" t="s">
        <v>202</v>
      </c>
      <c r="D17">
        <f>SUMIFS(Rubricas_Folha!$H$3:$H$128,Rubricas_Folha!$B$3:$B$128,B17,Rubricas_Folha!$E$3:$E$128,"Provento",Rubricas_Folha!$I$3:$I$128,C17)</f>
        <v>2610.33</v>
      </c>
      <c r="E17">
        <f>SUMIFS(Rubricas_Folha!$H$3:$H$128,Rubricas_Folha!$B$3:$B$128,B17,Rubricas_Folha!$E$3:$E$128,"Desconto",Rubricas_Folha!$I$3:$I$128,C17)</f>
        <v>461.36999999999995</v>
      </c>
      <c r="F17">
        <f t="shared" si="0"/>
        <v>2148.96</v>
      </c>
    </row>
    <row r="18" spans="1:6" x14ac:dyDescent="0.3">
      <c r="A18">
        <v>8</v>
      </c>
      <c r="B18" t="s">
        <v>133</v>
      </c>
      <c r="C18" t="s">
        <v>190</v>
      </c>
      <c r="D18">
        <f>SUMIFS(Rubricas_Folha!$H$3:$H$128,Rubricas_Folha!$B$3:$B$128,B18,Rubricas_Folha!$E$3:$E$128,"Provento",Rubricas_Folha!$I$3:$I$128,C18)</f>
        <v>30.58</v>
      </c>
      <c r="E18">
        <f>SUMIFS(Rubricas_Folha!$H$3:$H$128,Rubricas_Folha!$B$3:$B$128,B18,Rubricas_Folha!$E$3:$E$128,"Desconto",Rubricas_Folha!$I$3:$I$128,C18)</f>
        <v>55.269999999999996</v>
      </c>
      <c r="F18">
        <f t="shared" si="0"/>
        <v>-24.689999999999998</v>
      </c>
    </row>
    <row r="19" spans="1:6" x14ac:dyDescent="0.3">
      <c r="A19">
        <v>9</v>
      </c>
      <c r="B19" t="s">
        <v>165</v>
      </c>
      <c r="C19" t="s">
        <v>202</v>
      </c>
      <c r="D19">
        <f>SUMIFS(Rubricas_Folha!$H$3:$H$128,Rubricas_Folha!$B$3:$B$128,B19,Rubricas_Folha!$E$3:$E$128,"Provento",Rubricas_Folha!$I$3:$I$128,C19)</f>
        <v>2066.56</v>
      </c>
      <c r="E19">
        <f>SUMIFS(Rubricas_Folha!$H$3:$H$128,Rubricas_Folha!$B$3:$B$128,B19,Rubricas_Folha!$E$3:$E$128,"Desconto",Rubricas_Folha!$I$3:$I$128,C19)</f>
        <v>374.44</v>
      </c>
      <c r="F19">
        <f t="shared" si="0"/>
        <v>1692.12</v>
      </c>
    </row>
    <row r="20" spans="1:6" x14ac:dyDescent="0.3">
      <c r="A20">
        <v>9</v>
      </c>
      <c r="B20" t="s">
        <v>165</v>
      </c>
      <c r="C20" t="s">
        <v>190</v>
      </c>
      <c r="D20">
        <f>SUMIFS(Rubricas_Folha!$H$3:$H$128,Rubricas_Folha!$B$3:$B$128,B20,Rubricas_Folha!$E$3:$E$128,"Provento",Rubricas_Folha!$I$3:$I$128,C20)</f>
        <v>25.880000000000003</v>
      </c>
      <c r="E20">
        <f>SUMIFS(Rubricas_Folha!$H$3:$H$128,Rubricas_Folha!$B$3:$B$128,B20,Rubricas_Folha!$E$3:$E$128,"Desconto",Rubricas_Folha!$I$3:$I$128,C20)</f>
        <v>44.47</v>
      </c>
      <c r="F20">
        <f t="shared" si="0"/>
        <v>-18.589999999999996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/>
  </sheetViews>
  <sheetFormatPr defaultRowHeight="14.4" x14ac:dyDescent="0.3"/>
  <cols>
    <col min="1" max="1" width="46" customWidth="1"/>
    <col min="2" max="2" width="22" customWidth="1"/>
    <col min="3" max="3" width="60" customWidth="1"/>
  </cols>
  <sheetData>
    <row r="1" spans="1:3" ht="16.8" customHeight="1" x14ac:dyDescent="0.3">
      <c r="A1" s="5" t="s">
        <v>260</v>
      </c>
    </row>
    <row r="3" spans="1:3" x14ac:dyDescent="0.3">
      <c r="A3" s="10" t="s">
        <v>261</v>
      </c>
      <c r="B3" s="10" t="s">
        <v>182</v>
      </c>
      <c r="C3" s="10" t="s">
        <v>262</v>
      </c>
    </row>
    <row r="4" spans="1:3" x14ac:dyDescent="0.3">
      <c r="A4" t="s">
        <v>263</v>
      </c>
      <c r="B4">
        <f>SUM(Resumo_Departamento!F3:F20)</f>
        <v>72043.64</v>
      </c>
      <c r="C4" t="s">
        <v>264</v>
      </c>
    </row>
    <row r="5" spans="1:3" x14ac:dyDescent="0.3">
      <c r="A5" t="s">
        <v>265</v>
      </c>
      <c r="B5">
        <f>SUM(Liquidos!E3:E86)</f>
        <v>103244.01000000001</v>
      </c>
      <c r="C5" t="s">
        <v>266</v>
      </c>
    </row>
    <row r="6" spans="1:3" x14ac:dyDescent="0.3">
      <c r="A6" t="s">
        <v>267</v>
      </c>
      <c r="B6">
        <f>COUNTA(Funcionarios!A3:A38)</f>
        <v>36</v>
      </c>
      <c r="C6" t="s">
        <v>268</v>
      </c>
    </row>
    <row r="7" spans="1:3" x14ac:dyDescent="0.3">
      <c r="A7" t="s">
        <v>269</v>
      </c>
      <c r="B7">
        <f>SUM(Horas_Extras!I3:I32)</f>
        <v>339.21000000000004</v>
      </c>
      <c r="C7" t="s">
        <v>270</v>
      </c>
    </row>
    <row r="8" spans="1:3" x14ac:dyDescent="0.3">
      <c r="A8" t="s">
        <v>271</v>
      </c>
      <c r="B8">
        <f>SUM(Horas_Extras!H3:H32)</f>
        <v>6653.6200000000017</v>
      </c>
      <c r="C8" t="s">
        <v>272</v>
      </c>
    </row>
    <row r="9" spans="1:3" x14ac:dyDescent="0.3">
      <c r="A9" t="s">
        <v>273</v>
      </c>
      <c r="B9">
        <f>SUM(Faltas!D3:D38)</f>
        <v>43.22</v>
      </c>
      <c r="C9" t="s">
        <v>274</v>
      </c>
    </row>
    <row r="10" spans="1:3" x14ac:dyDescent="0.3">
      <c r="A10" t="s">
        <v>275</v>
      </c>
      <c r="B10">
        <f>SUM(Atestados!D3:D38)</f>
        <v>102.43999999999998</v>
      </c>
      <c r="C10" t="s">
        <v>276</v>
      </c>
    </row>
    <row r="11" spans="1:3" x14ac:dyDescent="0.3">
      <c r="A11" t="s">
        <v>277</v>
      </c>
      <c r="B11">
        <f>SUM(Rescisoes!J3:J8)</f>
        <v>5752.7900000000009</v>
      </c>
      <c r="C11" t="s">
        <v>278</v>
      </c>
    </row>
    <row r="13" spans="1:3" x14ac:dyDescent="0.3">
      <c r="A13" s="11" t="s">
        <v>279</v>
      </c>
    </row>
    <row r="14" spans="1:3" x14ac:dyDescent="0.3">
      <c r="A14" s="10" t="s">
        <v>7</v>
      </c>
      <c r="B14" s="10" t="s">
        <v>280</v>
      </c>
    </row>
    <row r="15" spans="1:3" x14ac:dyDescent="0.3">
      <c r="A15" t="s">
        <v>48</v>
      </c>
      <c r="B15">
        <f>SUMIFS(Resumo_Departamento!$F$3:$F$20,Resumo_Departamento!$B$3:$B$20,A15)</f>
        <v>8953.5500000000011</v>
      </c>
    </row>
    <row r="16" spans="1:3" x14ac:dyDescent="0.3">
      <c r="A16" t="s">
        <v>55</v>
      </c>
      <c r="B16">
        <f>SUMIFS(Resumo_Departamento!$F$3:$F$20,Resumo_Departamento!$B$3:$B$20,A16)</f>
        <v>14228.249999999996</v>
      </c>
    </row>
    <row r="17" spans="1:2" x14ac:dyDescent="0.3">
      <c r="A17" t="s">
        <v>61</v>
      </c>
      <c r="B17">
        <f>SUMIFS(Resumo_Departamento!$F$3:$F$20,Resumo_Departamento!$B$3:$B$20,A17)</f>
        <v>8747.0999999999985</v>
      </c>
    </row>
    <row r="18" spans="1:2" x14ac:dyDescent="0.3">
      <c r="A18" t="s">
        <v>67</v>
      </c>
      <c r="B18">
        <f>SUMIFS(Resumo_Departamento!$F$3:$F$20,Resumo_Departamento!$B$3:$B$20,A18)</f>
        <v>3830.99</v>
      </c>
    </row>
    <row r="19" spans="1:2" x14ac:dyDescent="0.3">
      <c r="A19" t="s">
        <v>73</v>
      </c>
      <c r="B19">
        <f>SUMIFS(Resumo_Departamento!$F$3:$F$20,Resumo_Departamento!$B$3:$B$20,A19)</f>
        <v>24734.659999999996</v>
      </c>
    </row>
    <row r="20" spans="1:2" x14ac:dyDescent="0.3">
      <c r="A20" t="s">
        <v>97</v>
      </c>
      <c r="B20">
        <f>SUMIFS(Resumo_Departamento!$F$3:$F$20,Resumo_Departamento!$B$3:$B$20,A20)</f>
        <v>4106.4299999999994</v>
      </c>
    </row>
    <row r="21" spans="1:2" x14ac:dyDescent="0.3">
      <c r="A21" t="s">
        <v>121</v>
      </c>
      <c r="B21">
        <f>SUMIFS(Resumo_Departamento!$F$3:$F$20,Resumo_Departamento!$B$3:$B$20,A21)</f>
        <v>3644.8599999999997</v>
      </c>
    </row>
    <row r="22" spans="1:2" x14ac:dyDescent="0.3">
      <c r="A22" t="s">
        <v>133</v>
      </c>
      <c r="B22">
        <f>SUMIFS(Resumo_Departamento!$F$3:$F$20,Resumo_Departamento!$B$3:$B$20,A22)</f>
        <v>2124.27</v>
      </c>
    </row>
    <row r="23" spans="1:2" x14ac:dyDescent="0.3">
      <c r="A23" t="s">
        <v>165</v>
      </c>
      <c r="B23">
        <f>SUMIFS(Resumo_Departamento!$F$3:$F$20,Resumo_Departamento!$B$3:$B$20,A23)</f>
        <v>1673.53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Ficha_Funcionario</vt:lpstr>
      <vt:lpstr>Capa</vt:lpstr>
      <vt:lpstr>Funcionarios</vt:lpstr>
      <vt:lpstr>Liquidos</vt:lpstr>
      <vt:lpstr>Horas_Extras</vt:lpstr>
      <vt:lpstr>Faltas</vt:lpstr>
      <vt:lpstr>Atestados</vt:lpstr>
      <vt:lpstr>Faltas_Detalhado</vt:lpstr>
      <vt:lpstr>Rescisoes</vt:lpstr>
      <vt:lpstr>Rubricas_Folha</vt:lpstr>
      <vt:lpstr>Resumo_Departamento</vt:lpstr>
      <vt:lpstr>Resumo_Geral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RH_Folha_Consolidado</dc:title>
  <dc:creator>igoorsa93</dc:creator>
  <cp:lastModifiedBy>igor cardoso</cp:lastModifiedBy>
  <dcterms:created xsi:type="dcterms:W3CDTF">2026-08-04T15:00:13Z</dcterms:created>
  <dcterms:modified xsi:type="dcterms:W3CDTF">2026-08-10T00:28:05Z</dcterms:modified>
</cp:coreProperties>
</file>