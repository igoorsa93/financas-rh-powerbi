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igoor\Desktop\Controle Pessoal\github-demo\"/>
    </mc:Choice>
  </mc:AlternateContent>
  <xr:revisionPtr revIDLastSave="0" documentId="13_ncr:1_{01616B76-BDFE-4D29-9C58-78961BA6E53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tas" sheetId="1" r:id="rId1"/>
    <sheet name="Categorias" sheetId="2" r:id="rId2"/>
    <sheet name="Lançamentos" sheetId="3" r:id="rId3"/>
    <sheet name="Orçamento" sheetId="4" r:id="rId4"/>
    <sheet name="Resumo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5" l="1"/>
  <c r="B25" i="5"/>
  <c r="B24" i="5"/>
  <c r="B23" i="5"/>
  <c r="B22" i="5"/>
  <c r="B21" i="5"/>
  <c r="B20" i="5"/>
  <c r="B19" i="5"/>
  <c r="B18" i="5"/>
  <c r="B17" i="5"/>
  <c r="B16" i="5"/>
  <c r="B11" i="5"/>
  <c r="B10" i="5"/>
  <c r="B8" i="5"/>
  <c r="B7" i="5"/>
  <c r="B9" i="5" s="1"/>
  <c r="AI17" i="4"/>
  <c r="AF17" i="4"/>
  <c r="AC17" i="4"/>
  <c r="Z17" i="4"/>
  <c r="W17" i="4"/>
  <c r="T17" i="4"/>
  <c r="Q17" i="4"/>
  <c r="N17" i="4"/>
  <c r="K17" i="4"/>
  <c r="H17" i="4"/>
  <c r="E17" i="4"/>
  <c r="B17" i="4"/>
  <c r="AJ16" i="4"/>
  <c r="AK16" i="4" s="1"/>
  <c r="AG16" i="4"/>
  <c r="AH16" i="4" s="1"/>
  <c r="AD16" i="4"/>
  <c r="AE16" i="4" s="1"/>
  <c r="AA16" i="4"/>
  <c r="AB16" i="4" s="1"/>
  <c r="X16" i="4"/>
  <c r="Y16" i="4" s="1"/>
  <c r="U16" i="4"/>
  <c r="V16" i="4" s="1"/>
  <c r="R16" i="4"/>
  <c r="S16" i="4" s="1"/>
  <c r="O16" i="4"/>
  <c r="P16" i="4" s="1"/>
  <c r="L16" i="4"/>
  <c r="M16" i="4" s="1"/>
  <c r="I16" i="4"/>
  <c r="J16" i="4" s="1"/>
  <c r="F16" i="4"/>
  <c r="G16" i="4" s="1"/>
  <c r="C16" i="4"/>
  <c r="D16" i="4" s="1"/>
  <c r="AJ15" i="4"/>
  <c r="AK15" i="4" s="1"/>
  <c r="AG15" i="4"/>
  <c r="AH15" i="4" s="1"/>
  <c r="AD15" i="4"/>
  <c r="AE15" i="4" s="1"/>
  <c r="AA15" i="4"/>
  <c r="AB15" i="4" s="1"/>
  <c r="X15" i="4"/>
  <c r="Y15" i="4" s="1"/>
  <c r="U15" i="4"/>
  <c r="V15" i="4" s="1"/>
  <c r="R15" i="4"/>
  <c r="S15" i="4" s="1"/>
  <c r="O15" i="4"/>
  <c r="P15" i="4" s="1"/>
  <c r="L15" i="4"/>
  <c r="M15" i="4" s="1"/>
  <c r="I15" i="4"/>
  <c r="J15" i="4" s="1"/>
  <c r="F15" i="4"/>
  <c r="G15" i="4" s="1"/>
  <c r="C15" i="4"/>
  <c r="D15" i="4" s="1"/>
  <c r="AJ14" i="4"/>
  <c r="AK14" i="4" s="1"/>
  <c r="AG14" i="4"/>
  <c r="AH14" i="4" s="1"/>
  <c r="AD14" i="4"/>
  <c r="AE14" i="4" s="1"/>
  <c r="AA14" i="4"/>
  <c r="AB14" i="4" s="1"/>
  <c r="X14" i="4"/>
  <c r="Y14" i="4" s="1"/>
  <c r="U14" i="4"/>
  <c r="V14" i="4" s="1"/>
  <c r="R14" i="4"/>
  <c r="S14" i="4" s="1"/>
  <c r="O14" i="4"/>
  <c r="P14" i="4" s="1"/>
  <c r="L14" i="4"/>
  <c r="M14" i="4" s="1"/>
  <c r="I14" i="4"/>
  <c r="J14" i="4" s="1"/>
  <c r="F14" i="4"/>
  <c r="G14" i="4" s="1"/>
  <c r="C14" i="4"/>
  <c r="D14" i="4" s="1"/>
  <c r="AJ13" i="4"/>
  <c r="AK13" i="4" s="1"/>
  <c r="AG13" i="4"/>
  <c r="AH13" i="4" s="1"/>
  <c r="AD13" i="4"/>
  <c r="AE13" i="4" s="1"/>
  <c r="AA13" i="4"/>
  <c r="AB13" i="4" s="1"/>
  <c r="X13" i="4"/>
  <c r="Y13" i="4" s="1"/>
  <c r="V13" i="4"/>
  <c r="U13" i="4"/>
  <c r="R13" i="4"/>
  <c r="S13" i="4" s="1"/>
  <c r="O13" i="4"/>
  <c r="P13" i="4" s="1"/>
  <c r="L13" i="4"/>
  <c r="M13" i="4" s="1"/>
  <c r="I13" i="4"/>
  <c r="J13" i="4" s="1"/>
  <c r="F13" i="4"/>
  <c r="G13" i="4" s="1"/>
  <c r="D13" i="4"/>
  <c r="C13" i="4"/>
  <c r="AJ12" i="4"/>
  <c r="AK12" i="4" s="1"/>
  <c r="AG12" i="4"/>
  <c r="AH12" i="4" s="1"/>
  <c r="AD12" i="4"/>
  <c r="AE12" i="4" s="1"/>
  <c r="AA12" i="4"/>
  <c r="AB12" i="4" s="1"/>
  <c r="X12" i="4"/>
  <c r="Y12" i="4" s="1"/>
  <c r="U12" i="4"/>
  <c r="V12" i="4" s="1"/>
  <c r="R12" i="4"/>
  <c r="S12" i="4" s="1"/>
  <c r="O12" i="4"/>
  <c r="P12" i="4" s="1"/>
  <c r="L12" i="4"/>
  <c r="M12" i="4" s="1"/>
  <c r="I12" i="4"/>
  <c r="J12" i="4" s="1"/>
  <c r="F12" i="4"/>
  <c r="G12" i="4" s="1"/>
  <c r="C12" i="4"/>
  <c r="D12" i="4" s="1"/>
  <c r="AJ11" i="4"/>
  <c r="AK11" i="4" s="1"/>
  <c r="AG11" i="4"/>
  <c r="AH11" i="4" s="1"/>
  <c r="AD11" i="4"/>
  <c r="AE11" i="4" s="1"/>
  <c r="AA11" i="4"/>
  <c r="AB11" i="4" s="1"/>
  <c r="X11" i="4"/>
  <c r="Y11" i="4" s="1"/>
  <c r="U11" i="4"/>
  <c r="V11" i="4" s="1"/>
  <c r="R11" i="4"/>
  <c r="S11" i="4" s="1"/>
  <c r="O11" i="4"/>
  <c r="P11" i="4" s="1"/>
  <c r="L11" i="4"/>
  <c r="M11" i="4" s="1"/>
  <c r="I11" i="4"/>
  <c r="J11" i="4" s="1"/>
  <c r="F11" i="4"/>
  <c r="G11" i="4" s="1"/>
  <c r="C11" i="4"/>
  <c r="D11" i="4" s="1"/>
  <c r="AJ10" i="4"/>
  <c r="AK10" i="4" s="1"/>
  <c r="AG10" i="4"/>
  <c r="AH10" i="4" s="1"/>
  <c r="AD10" i="4"/>
  <c r="AE10" i="4" s="1"/>
  <c r="AA10" i="4"/>
  <c r="AB10" i="4" s="1"/>
  <c r="X10" i="4"/>
  <c r="Y10" i="4" s="1"/>
  <c r="U10" i="4"/>
  <c r="V10" i="4" s="1"/>
  <c r="R10" i="4"/>
  <c r="S10" i="4" s="1"/>
  <c r="O10" i="4"/>
  <c r="P10" i="4" s="1"/>
  <c r="L10" i="4"/>
  <c r="M10" i="4" s="1"/>
  <c r="I10" i="4"/>
  <c r="J10" i="4" s="1"/>
  <c r="F10" i="4"/>
  <c r="G10" i="4" s="1"/>
  <c r="C10" i="4"/>
  <c r="D10" i="4" s="1"/>
  <c r="AJ9" i="4"/>
  <c r="AK9" i="4" s="1"/>
  <c r="AG9" i="4"/>
  <c r="AH9" i="4" s="1"/>
  <c r="AD9" i="4"/>
  <c r="AE9" i="4" s="1"/>
  <c r="AA9" i="4"/>
  <c r="AB9" i="4" s="1"/>
  <c r="X9" i="4"/>
  <c r="Y9" i="4" s="1"/>
  <c r="U9" i="4"/>
  <c r="V9" i="4" s="1"/>
  <c r="R9" i="4"/>
  <c r="S9" i="4" s="1"/>
  <c r="O9" i="4"/>
  <c r="P9" i="4" s="1"/>
  <c r="L9" i="4"/>
  <c r="M9" i="4" s="1"/>
  <c r="I9" i="4"/>
  <c r="J9" i="4" s="1"/>
  <c r="F9" i="4"/>
  <c r="G9" i="4" s="1"/>
  <c r="C9" i="4"/>
  <c r="D9" i="4" s="1"/>
  <c r="AJ8" i="4"/>
  <c r="AK8" i="4" s="1"/>
  <c r="AG8" i="4"/>
  <c r="AH8" i="4" s="1"/>
  <c r="AD8" i="4"/>
  <c r="AE8" i="4" s="1"/>
  <c r="AA8" i="4"/>
  <c r="AB8" i="4" s="1"/>
  <c r="X8" i="4"/>
  <c r="Y8" i="4" s="1"/>
  <c r="U8" i="4"/>
  <c r="V8" i="4" s="1"/>
  <c r="R8" i="4"/>
  <c r="S8" i="4" s="1"/>
  <c r="O8" i="4"/>
  <c r="P8" i="4" s="1"/>
  <c r="L8" i="4"/>
  <c r="M8" i="4" s="1"/>
  <c r="I8" i="4"/>
  <c r="J8" i="4" s="1"/>
  <c r="F8" i="4"/>
  <c r="G8" i="4" s="1"/>
  <c r="C8" i="4"/>
  <c r="D8" i="4" s="1"/>
  <c r="AJ7" i="4"/>
  <c r="AK7" i="4" s="1"/>
  <c r="AG7" i="4"/>
  <c r="AH7" i="4" s="1"/>
  <c r="AD7" i="4"/>
  <c r="AE7" i="4" s="1"/>
  <c r="AA7" i="4"/>
  <c r="AB7" i="4" s="1"/>
  <c r="X7" i="4"/>
  <c r="Y7" i="4" s="1"/>
  <c r="U7" i="4"/>
  <c r="V7" i="4" s="1"/>
  <c r="R7" i="4"/>
  <c r="S7" i="4" s="1"/>
  <c r="O7" i="4"/>
  <c r="P7" i="4" s="1"/>
  <c r="L7" i="4"/>
  <c r="M7" i="4" s="1"/>
  <c r="I7" i="4"/>
  <c r="J7" i="4" s="1"/>
  <c r="F7" i="4"/>
  <c r="G7" i="4" s="1"/>
  <c r="C7" i="4"/>
  <c r="D7" i="4" s="1"/>
  <c r="AJ6" i="4"/>
  <c r="AK6" i="4" s="1"/>
  <c r="AG6" i="4"/>
  <c r="AH6" i="4" s="1"/>
  <c r="AD6" i="4"/>
  <c r="AE6" i="4" s="1"/>
  <c r="AA6" i="4"/>
  <c r="AA17" i="4" s="1"/>
  <c r="X6" i="4"/>
  <c r="Y6" i="4" s="1"/>
  <c r="U6" i="4"/>
  <c r="V6" i="4" s="1"/>
  <c r="R6" i="4"/>
  <c r="S6" i="4" s="1"/>
  <c r="O6" i="4"/>
  <c r="O17" i="4" s="1"/>
  <c r="L6" i="4"/>
  <c r="L17" i="4" s="1"/>
  <c r="I6" i="4"/>
  <c r="I17" i="4" s="1"/>
  <c r="J17" i="4" s="1"/>
  <c r="F6" i="4"/>
  <c r="G6" i="4" s="1"/>
  <c r="C6" i="4"/>
  <c r="C17" i="4" s="1"/>
  <c r="M17" i="4" l="1"/>
  <c r="P17" i="4"/>
  <c r="B12" i="5"/>
  <c r="AB17" i="4"/>
  <c r="D17" i="4"/>
  <c r="F17" i="4"/>
  <c r="G17" i="4" s="1"/>
  <c r="R17" i="4"/>
  <c r="S17" i="4" s="1"/>
  <c r="AD17" i="4"/>
  <c r="AE17" i="4" s="1"/>
  <c r="J6" i="4"/>
  <c r="AB6" i="4"/>
  <c r="M6" i="4"/>
  <c r="U17" i="4"/>
  <c r="V17" i="4" s="1"/>
  <c r="AG17" i="4"/>
  <c r="AH17" i="4" s="1"/>
  <c r="P6" i="4"/>
  <c r="X17" i="4"/>
  <c r="Y17" i="4" s="1"/>
  <c r="AJ17" i="4"/>
  <c r="AK17" i="4" s="1"/>
  <c r="D6" i="4"/>
</calcChain>
</file>

<file path=xl/sharedStrings.xml><?xml version="1.0" encoding="utf-8"?>
<sst xmlns="http://schemas.openxmlformats.org/spreadsheetml/2006/main" count="214" uniqueCount="128">
  <si>
    <t>Contas / Carteiras</t>
  </si>
  <si>
    <t>Preencha aqui todas as contas que você quer controlar. Use o Nome da Conta exatamente igual na aba Lançamentos.</t>
  </si>
  <si>
    <t>Nome da Conta</t>
  </si>
  <si>
    <t>Tipo</t>
  </si>
  <si>
    <t>Saldo Inicial</t>
  </si>
  <si>
    <t>Data Saldo Inicial</t>
  </si>
  <si>
    <t>Observações</t>
  </si>
  <si>
    <t>Conta Corrente</t>
  </si>
  <si>
    <t>2026-08-01</t>
  </si>
  <si>
    <t>ex.: Banco X</t>
  </si>
  <si>
    <t>Cartão de Crédito</t>
  </si>
  <si>
    <t>ex.: fatura atual em aberto</t>
  </si>
  <si>
    <t>Carteira</t>
  </si>
  <si>
    <t>Dinheiro</t>
  </si>
  <si>
    <t>espécie</t>
  </si>
  <si>
    <t>Investimentos</t>
  </si>
  <si>
    <t>Investimento</t>
  </si>
  <si>
    <t>renda fixa/variável</t>
  </si>
  <si>
    <t>Categorias e Subcategorias</t>
  </si>
  <si>
    <t>Categorias padrão sugeridas — edite, adicione ou remova livremente. Use exatamente estes nomes na aba Lançamentos e no Orçamento.</t>
  </si>
  <si>
    <t>Categoria</t>
  </si>
  <si>
    <t>Subcategoria</t>
  </si>
  <si>
    <t>Receita</t>
  </si>
  <si>
    <t>Salário</t>
  </si>
  <si>
    <t>Freelance/Extra</t>
  </si>
  <si>
    <t>Rendimentos de Investimento</t>
  </si>
  <si>
    <t>Outras Receitas</t>
  </si>
  <si>
    <t>Moradia</t>
  </si>
  <si>
    <t>Aluguel/Financiamento</t>
  </si>
  <si>
    <t>Despesa</t>
  </si>
  <si>
    <t>Condomínio</t>
  </si>
  <si>
    <t>Água/Luz/Gás</t>
  </si>
  <si>
    <t>Internet/Telefone</t>
  </si>
  <si>
    <t>Manutenção</t>
  </si>
  <si>
    <t>Alimentação</t>
  </si>
  <si>
    <t>Supermercado</t>
  </si>
  <si>
    <t>Restaurante/Delivery</t>
  </si>
  <si>
    <t>Transporte</t>
  </si>
  <si>
    <t>Combustível</t>
  </si>
  <si>
    <t>Transporte Público/App</t>
  </si>
  <si>
    <t>Manutenção Veículo</t>
  </si>
  <si>
    <t>Saúde</t>
  </si>
  <si>
    <t>Plano de Saúde</t>
  </si>
  <si>
    <t>Farmácia</t>
  </si>
  <si>
    <t>Consultas/Exames</t>
  </si>
  <si>
    <t>Educação</t>
  </si>
  <si>
    <t>Cursos/Mensalidades</t>
  </si>
  <si>
    <t>Livros/Material</t>
  </si>
  <si>
    <t>Lazer</t>
  </si>
  <si>
    <t>Assinaturas/Streaming</t>
  </si>
  <si>
    <t>Viagens</t>
  </si>
  <si>
    <t>Entretenimento</t>
  </si>
  <si>
    <t>Vestuário</t>
  </si>
  <si>
    <t>Roupas/Acessórios</t>
  </si>
  <si>
    <t>Fatura/Parcelamentos</t>
  </si>
  <si>
    <t>Aporte</t>
  </si>
  <si>
    <t>Dívidas</t>
  </si>
  <si>
    <t>Empréstimos/Financiamentos</t>
  </si>
  <si>
    <t>Outros</t>
  </si>
  <si>
    <t>Diversos</t>
  </si>
  <si>
    <t>Lançamentos</t>
  </si>
  <si>
    <t>Registre aqui manualmente cada movimentação. Use os menus (Conta, Categoria, Tipo) para manter consistência.</t>
  </si>
  <si>
    <t>Data</t>
  </si>
  <si>
    <t>Conta</t>
  </si>
  <si>
    <t>Descrição</t>
  </si>
  <si>
    <t>Valor</t>
  </si>
  <si>
    <t>Forma de Pagamento</t>
  </si>
  <si>
    <t>Parcela</t>
  </si>
  <si>
    <t>Status</t>
  </si>
  <si>
    <t>Salário mensal</t>
  </si>
  <si>
    <t>Transferência</t>
  </si>
  <si>
    <t>Pago</t>
  </si>
  <si>
    <t>2026-08-03</t>
  </si>
  <si>
    <t>Compras do mês</t>
  </si>
  <si>
    <t>Crédito</t>
  </si>
  <si>
    <t>1/1</t>
  </si>
  <si>
    <t>Pendente</t>
  </si>
  <si>
    <t>Orçamento Mensal — Planejado x Realizado</t>
  </si>
  <si>
    <t>Preencha o valor Planejado por categoria e mês (célula amarela). Realizado é calculado automaticamente a partir da aba Lançamentos.</t>
  </si>
  <si>
    <t>Ano de Referência:</t>
  </si>
  <si>
    <t>Janeiro - Planejado</t>
  </si>
  <si>
    <t>Janeiro - Realizado</t>
  </si>
  <si>
    <t>Janeiro - Diferença</t>
  </si>
  <si>
    <t>Fevereiro - Planejado</t>
  </si>
  <si>
    <t>Fevereiro - Realizado</t>
  </si>
  <si>
    <t>Fevereiro - Diferença</t>
  </si>
  <si>
    <t>Março - Planejado</t>
  </si>
  <si>
    <t>Março - Realizado</t>
  </si>
  <si>
    <t>Março - Diferença</t>
  </si>
  <si>
    <t>Abril - Planejado</t>
  </si>
  <si>
    <t>Abril - Realizado</t>
  </si>
  <si>
    <t>Abril - Diferença</t>
  </si>
  <si>
    <t>Maio - Planejado</t>
  </si>
  <si>
    <t>Maio - Realizado</t>
  </si>
  <si>
    <t>Maio - Diferença</t>
  </si>
  <si>
    <t>Junho - Planejado</t>
  </si>
  <si>
    <t>Junho - Realizado</t>
  </si>
  <si>
    <t>Junho - Diferença</t>
  </si>
  <si>
    <t>Julho - Planejado</t>
  </si>
  <si>
    <t>Julho - Realizado</t>
  </si>
  <si>
    <t>Julho - Diferença</t>
  </si>
  <si>
    <t>Agosto - Planejado</t>
  </si>
  <si>
    <t>Agosto - Realizado</t>
  </si>
  <si>
    <t>Agosto - Diferença</t>
  </si>
  <si>
    <t>Setembro - Planejado</t>
  </si>
  <si>
    <t>Setembro - Realizado</t>
  </si>
  <si>
    <t>Setembro - Diferença</t>
  </si>
  <si>
    <t>Outubro - Planejado</t>
  </si>
  <si>
    <t>Outubro - Realizado</t>
  </si>
  <si>
    <t>Outubro - Diferença</t>
  </si>
  <si>
    <t>Novembro - Planejado</t>
  </si>
  <si>
    <t>Novembro - Realizado</t>
  </si>
  <si>
    <t>Novembro - Diferença</t>
  </si>
  <si>
    <t>Dezembro - Planejado</t>
  </si>
  <si>
    <t>Dezembro - Realizado</t>
  </si>
  <si>
    <t>Dezembro - Diferença</t>
  </si>
  <si>
    <t>Total</t>
  </si>
  <si>
    <t>Resumo Financeiro</t>
  </si>
  <si>
    <t>Visão consolidada a partir da aba Lançamentos. Ajuste o mês/ano de referência abaixo.</t>
  </si>
  <si>
    <t>Mês de Referência (1-12):</t>
  </si>
  <si>
    <t>Total Receitas (mês)</t>
  </si>
  <si>
    <t>Total Despesas (mês)</t>
  </si>
  <si>
    <t>Saldo do Mês</t>
  </si>
  <si>
    <t>Total Geral Receitas (todos os meses)</t>
  </si>
  <si>
    <t>Total Geral Despesas (todos os meses)</t>
  </si>
  <si>
    <t>Saldo Geral</t>
  </si>
  <si>
    <t>Gasto por Categoria (mês de referência)</t>
  </si>
  <si>
    <t>Total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</si>
</sst>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rgb="FF1F4E78"/>
      <name val="Arial"/>
    </font>
    <font>
      <i/>
      <sz val="9"/>
      <color rgb="FF808080"/>
      <name val="Arial"/>
    </font>
    <font>
      <b/>
      <sz val="11"/>
      <color rgb="FFFFFFFF"/>
      <name val="Arial"/>
    </font>
    <font>
      <sz val="10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0" fontId="4" fillId="0" borderId="1" xfId="0" applyFont="1" applyBorder="1"/>
    <xf numFmtId="40" fontId="4" fillId="3" borderId="1" xfId="0" applyNumberFormat="1" applyFont="1" applyFill="1" applyBorder="1"/>
    <xf numFmtId="0" fontId="5" fillId="0" borderId="0" xfId="0" applyFont="1"/>
    <xf numFmtId="0" fontId="5" fillId="3" borderId="0" xfId="0" applyFont="1" applyFill="1"/>
    <xf numFmtId="0" fontId="5" fillId="0" borderId="1" xfId="0" applyFont="1" applyBorder="1"/>
    <xf numFmtId="4" fontId="4" fillId="3" borderId="1" xfId="0" applyNumberFormat="1" applyFont="1" applyFill="1" applyBorder="1"/>
    <xf numFmtId="4" fontId="4" fillId="0" borderId="1" xfId="0" applyNumberFormat="1" applyFont="1" applyBorder="1"/>
    <xf numFmtId="40" fontId="4" fillId="0" borderId="1" xfId="0" applyNumberFormat="1" applyFont="1" applyBorder="1"/>
    <xf numFmtId="4" fontId="5" fillId="0" borderId="0" xfId="0" applyNumberFormat="1" applyFont="1"/>
    <xf numFmtId="40" fontId="5" fillId="0" borderId="0" xfId="0" applyNumberFormat="1" applyFont="1"/>
    <xf numFmtId="40" fontId="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22" customWidth="1"/>
    <col min="2" max="2" width="20" customWidth="1"/>
    <col min="3" max="3" width="16" customWidth="1"/>
    <col min="4" max="4" width="18" customWidth="1"/>
    <col min="5" max="5" width="35" customWidth="1"/>
  </cols>
  <sheetData>
    <row r="1" spans="1:5" ht="17.399999999999999" x14ac:dyDescent="0.3">
      <c r="A1" s="1" t="s">
        <v>0</v>
      </c>
    </row>
    <row r="2" spans="1:5" x14ac:dyDescent="0.3">
      <c r="A2" s="2" t="s">
        <v>1</v>
      </c>
    </row>
    <row r="4" spans="1:5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x14ac:dyDescent="0.3">
      <c r="A5" s="4" t="s">
        <v>7</v>
      </c>
      <c r="B5" s="4" t="s">
        <v>7</v>
      </c>
      <c r="C5" s="4">
        <v>0</v>
      </c>
      <c r="D5" s="4" t="s">
        <v>8</v>
      </c>
      <c r="E5" s="5" t="s">
        <v>9</v>
      </c>
    </row>
    <row r="6" spans="1:5" x14ac:dyDescent="0.3">
      <c r="A6" s="4" t="s">
        <v>10</v>
      </c>
      <c r="B6" s="4" t="s">
        <v>10</v>
      </c>
      <c r="C6" s="4">
        <v>0</v>
      </c>
      <c r="D6" s="4" t="s">
        <v>8</v>
      </c>
      <c r="E6" s="5" t="s">
        <v>11</v>
      </c>
    </row>
    <row r="7" spans="1:5" x14ac:dyDescent="0.3">
      <c r="A7" s="4" t="s">
        <v>12</v>
      </c>
      <c r="B7" s="4" t="s">
        <v>13</v>
      </c>
      <c r="C7" s="4">
        <v>0</v>
      </c>
      <c r="D7" s="4" t="s">
        <v>8</v>
      </c>
      <c r="E7" s="5" t="s">
        <v>14</v>
      </c>
    </row>
    <row r="8" spans="1:5" x14ac:dyDescent="0.3">
      <c r="A8" s="4" t="s">
        <v>15</v>
      </c>
      <c r="B8" s="4" t="s">
        <v>16</v>
      </c>
      <c r="C8" s="4">
        <v>0</v>
      </c>
      <c r="D8" s="4" t="s">
        <v>8</v>
      </c>
      <c r="E8" s="5" t="s">
        <v>17</v>
      </c>
    </row>
  </sheetData>
  <dataValidations count="1">
    <dataValidation type="list" allowBlank="1" sqref="B5:B200" xr:uid="{00000000-0002-0000-0000-000000000000}">
      <formula1>"Conta Corrente,Cartão de Crédito,Dinheiro,Investimento"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1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22" customWidth="1"/>
    <col min="2" max="2" width="28" customWidth="1"/>
    <col min="3" max="3" width="14" customWidth="1"/>
  </cols>
  <sheetData>
    <row r="1" spans="1:3" ht="17.399999999999999" x14ac:dyDescent="0.3">
      <c r="A1" s="1" t="s">
        <v>18</v>
      </c>
    </row>
    <row r="2" spans="1:3" x14ac:dyDescent="0.3">
      <c r="A2" s="2" t="s">
        <v>19</v>
      </c>
    </row>
    <row r="4" spans="1:3" x14ac:dyDescent="0.3">
      <c r="A4" s="3" t="s">
        <v>20</v>
      </c>
      <c r="B4" s="3" t="s">
        <v>21</v>
      </c>
      <c r="C4" s="3" t="s">
        <v>3</v>
      </c>
    </row>
    <row r="5" spans="1:3" x14ac:dyDescent="0.3">
      <c r="A5" s="5" t="s">
        <v>22</v>
      </c>
      <c r="B5" s="5" t="s">
        <v>23</v>
      </c>
      <c r="C5" s="5" t="s">
        <v>22</v>
      </c>
    </row>
    <row r="6" spans="1:3" x14ac:dyDescent="0.3">
      <c r="A6" s="5" t="s">
        <v>22</v>
      </c>
      <c r="B6" s="5" t="s">
        <v>24</v>
      </c>
      <c r="C6" s="5" t="s">
        <v>22</v>
      </c>
    </row>
    <row r="7" spans="1:3" x14ac:dyDescent="0.3">
      <c r="A7" s="5" t="s">
        <v>22</v>
      </c>
      <c r="B7" s="5" t="s">
        <v>25</v>
      </c>
      <c r="C7" s="5" t="s">
        <v>22</v>
      </c>
    </row>
    <row r="8" spans="1:3" x14ac:dyDescent="0.3">
      <c r="A8" s="5" t="s">
        <v>22</v>
      </c>
      <c r="B8" s="5" t="s">
        <v>26</v>
      </c>
      <c r="C8" s="5" t="s">
        <v>22</v>
      </c>
    </row>
    <row r="9" spans="1:3" x14ac:dyDescent="0.3">
      <c r="A9" s="5" t="s">
        <v>27</v>
      </c>
      <c r="B9" s="5" t="s">
        <v>28</v>
      </c>
      <c r="C9" s="5" t="s">
        <v>29</v>
      </c>
    </row>
    <row r="10" spans="1:3" x14ac:dyDescent="0.3">
      <c r="A10" s="5" t="s">
        <v>27</v>
      </c>
      <c r="B10" s="5" t="s">
        <v>30</v>
      </c>
      <c r="C10" s="5" t="s">
        <v>29</v>
      </c>
    </row>
    <row r="11" spans="1:3" x14ac:dyDescent="0.3">
      <c r="A11" s="5" t="s">
        <v>27</v>
      </c>
      <c r="B11" s="5" t="s">
        <v>31</v>
      </c>
      <c r="C11" s="5" t="s">
        <v>29</v>
      </c>
    </row>
    <row r="12" spans="1:3" x14ac:dyDescent="0.3">
      <c r="A12" s="5" t="s">
        <v>27</v>
      </c>
      <c r="B12" s="5" t="s">
        <v>32</v>
      </c>
      <c r="C12" s="5" t="s">
        <v>29</v>
      </c>
    </row>
    <row r="13" spans="1:3" x14ac:dyDescent="0.3">
      <c r="A13" s="5" t="s">
        <v>27</v>
      </c>
      <c r="B13" s="5" t="s">
        <v>33</v>
      </c>
      <c r="C13" s="5" t="s">
        <v>29</v>
      </c>
    </row>
    <row r="14" spans="1:3" x14ac:dyDescent="0.3">
      <c r="A14" s="5" t="s">
        <v>34</v>
      </c>
      <c r="B14" s="5" t="s">
        <v>35</v>
      </c>
      <c r="C14" s="5" t="s">
        <v>29</v>
      </c>
    </row>
    <row r="15" spans="1:3" x14ac:dyDescent="0.3">
      <c r="A15" s="5" t="s">
        <v>34</v>
      </c>
      <c r="B15" s="5" t="s">
        <v>36</v>
      </c>
      <c r="C15" s="5" t="s">
        <v>29</v>
      </c>
    </row>
    <row r="16" spans="1:3" x14ac:dyDescent="0.3">
      <c r="A16" s="5" t="s">
        <v>37</v>
      </c>
      <c r="B16" s="5" t="s">
        <v>38</v>
      </c>
      <c r="C16" s="5" t="s">
        <v>29</v>
      </c>
    </row>
    <row r="17" spans="1:3" x14ac:dyDescent="0.3">
      <c r="A17" s="5" t="s">
        <v>37</v>
      </c>
      <c r="B17" s="5" t="s">
        <v>39</v>
      </c>
      <c r="C17" s="5" t="s">
        <v>29</v>
      </c>
    </row>
    <row r="18" spans="1:3" x14ac:dyDescent="0.3">
      <c r="A18" s="5" t="s">
        <v>37</v>
      </c>
      <c r="B18" s="5" t="s">
        <v>40</v>
      </c>
      <c r="C18" s="5" t="s">
        <v>29</v>
      </c>
    </row>
    <row r="19" spans="1:3" x14ac:dyDescent="0.3">
      <c r="A19" s="5" t="s">
        <v>41</v>
      </c>
      <c r="B19" s="5" t="s">
        <v>42</v>
      </c>
      <c r="C19" s="5" t="s">
        <v>29</v>
      </c>
    </row>
    <row r="20" spans="1:3" x14ac:dyDescent="0.3">
      <c r="A20" s="5" t="s">
        <v>41</v>
      </c>
      <c r="B20" s="5" t="s">
        <v>43</v>
      </c>
      <c r="C20" s="5" t="s">
        <v>29</v>
      </c>
    </row>
    <row r="21" spans="1:3" x14ac:dyDescent="0.3">
      <c r="A21" s="5" t="s">
        <v>41</v>
      </c>
      <c r="B21" s="5" t="s">
        <v>44</v>
      </c>
      <c r="C21" s="5" t="s">
        <v>29</v>
      </c>
    </row>
    <row r="22" spans="1:3" x14ac:dyDescent="0.3">
      <c r="A22" s="5" t="s">
        <v>45</v>
      </c>
      <c r="B22" s="5" t="s">
        <v>46</v>
      </c>
      <c r="C22" s="5" t="s">
        <v>29</v>
      </c>
    </row>
    <row r="23" spans="1:3" x14ac:dyDescent="0.3">
      <c r="A23" s="5" t="s">
        <v>45</v>
      </c>
      <c r="B23" s="5" t="s">
        <v>47</v>
      </c>
      <c r="C23" s="5" t="s">
        <v>29</v>
      </c>
    </row>
    <row r="24" spans="1:3" x14ac:dyDescent="0.3">
      <c r="A24" s="5" t="s">
        <v>48</v>
      </c>
      <c r="B24" s="5" t="s">
        <v>49</v>
      </c>
      <c r="C24" s="5" t="s">
        <v>29</v>
      </c>
    </row>
    <row r="25" spans="1:3" x14ac:dyDescent="0.3">
      <c r="A25" s="5" t="s">
        <v>48</v>
      </c>
      <c r="B25" s="5" t="s">
        <v>50</v>
      </c>
      <c r="C25" s="5" t="s">
        <v>29</v>
      </c>
    </row>
    <row r="26" spans="1:3" x14ac:dyDescent="0.3">
      <c r="A26" s="5" t="s">
        <v>48</v>
      </c>
      <c r="B26" s="5" t="s">
        <v>51</v>
      </c>
      <c r="C26" s="5" t="s">
        <v>29</v>
      </c>
    </row>
    <row r="27" spans="1:3" x14ac:dyDescent="0.3">
      <c r="A27" s="5" t="s">
        <v>52</v>
      </c>
      <c r="B27" s="5" t="s">
        <v>53</v>
      </c>
      <c r="C27" s="5" t="s">
        <v>29</v>
      </c>
    </row>
    <row r="28" spans="1:3" x14ac:dyDescent="0.3">
      <c r="A28" s="5" t="s">
        <v>10</v>
      </c>
      <c r="B28" s="5" t="s">
        <v>54</v>
      </c>
      <c r="C28" s="5" t="s">
        <v>29</v>
      </c>
    </row>
    <row r="29" spans="1:3" x14ac:dyDescent="0.3">
      <c r="A29" s="5" t="s">
        <v>15</v>
      </c>
      <c r="B29" s="5" t="s">
        <v>55</v>
      </c>
      <c r="C29" s="5" t="s">
        <v>29</v>
      </c>
    </row>
    <row r="30" spans="1:3" x14ac:dyDescent="0.3">
      <c r="A30" s="5" t="s">
        <v>56</v>
      </c>
      <c r="B30" s="5" t="s">
        <v>57</v>
      </c>
      <c r="C30" s="5" t="s">
        <v>29</v>
      </c>
    </row>
    <row r="31" spans="1:3" x14ac:dyDescent="0.3">
      <c r="A31" s="5" t="s">
        <v>58</v>
      </c>
      <c r="B31" s="5" t="s">
        <v>59</v>
      </c>
      <c r="C31" s="5" t="s">
        <v>29</v>
      </c>
    </row>
  </sheetData>
  <dataValidations count="1">
    <dataValidation type="list" allowBlank="1" sqref="C5:C200" xr:uid="{00000000-0002-0000-0100-000000000000}">
      <formula1>"Receita,Despesa"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20" customWidth="1"/>
    <col min="3" max="3" width="18" customWidth="1"/>
    <col min="4" max="4" width="20" customWidth="1"/>
    <col min="5" max="5" width="10" customWidth="1"/>
    <col min="6" max="6" width="30" customWidth="1"/>
    <col min="7" max="7" width="12" customWidth="1"/>
    <col min="8" max="8" width="16" customWidth="1"/>
    <col min="9" max="9" width="10" customWidth="1"/>
    <col min="10" max="10" width="12" customWidth="1"/>
  </cols>
  <sheetData>
    <row r="1" spans="1:10" ht="17.399999999999999" x14ac:dyDescent="0.3">
      <c r="A1" s="1" t="s">
        <v>60</v>
      </c>
    </row>
    <row r="2" spans="1:10" x14ac:dyDescent="0.3">
      <c r="A2" s="2" t="s">
        <v>61</v>
      </c>
    </row>
    <row r="4" spans="1:10" ht="27.6" x14ac:dyDescent="0.3">
      <c r="A4" s="3" t="s">
        <v>62</v>
      </c>
      <c r="B4" s="3" t="s">
        <v>63</v>
      </c>
      <c r="C4" s="3" t="s">
        <v>20</v>
      </c>
      <c r="D4" s="3" t="s">
        <v>21</v>
      </c>
      <c r="E4" s="3" t="s">
        <v>3</v>
      </c>
      <c r="F4" s="3" t="s">
        <v>64</v>
      </c>
      <c r="G4" s="3" t="s">
        <v>65</v>
      </c>
      <c r="H4" s="3" t="s">
        <v>66</v>
      </c>
      <c r="I4" s="3" t="s">
        <v>67</v>
      </c>
      <c r="J4" s="3" t="s">
        <v>68</v>
      </c>
    </row>
    <row r="5" spans="1:10" x14ac:dyDescent="0.3">
      <c r="A5" s="4" t="s">
        <v>8</v>
      </c>
      <c r="B5" s="4" t="s">
        <v>7</v>
      </c>
      <c r="C5" s="4" t="s">
        <v>22</v>
      </c>
      <c r="D5" s="4" t="s">
        <v>23</v>
      </c>
      <c r="E5" s="4" t="s">
        <v>22</v>
      </c>
      <c r="F5" s="4" t="s">
        <v>69</v>
      </c>
      <c r="G5" s="6">
        <v>5000</v>
      </c>
      <c r="H5" s="4" t="s">
        <v>70</v>
      </c>
      <c r="I5" s="4"/>
      <c r="J5" s="4" t="s">
        <v>71</v>
      </c>
    </row>
    <row r="6" spans="1:10" x14ac:dyDescent="0.3">
      <c r="A6" s="4" t="s">
        <v>72</v>
      </c>
      <c r="B6" s="4" t="s">
        <v>10</v>
      </c>
      <c r="C6" s="4" t="s">
        <v>34</v>
      </c>
      <c r="D6" s="4" t="s">
        <v>35</v>
      </c>
      <c r="E6" s="4" t="s">
        <v>29</v>
      </c>
      <c r="F6" s="4" t="s">
        <v>73</v>
      </c>
      <c r="G6" s="6">
        <v>450.3</v>
      </c>
      <c r="H6" s="4" t="s">
        <v>74</v>
      </c>
      <c r="I6" s="4" t="s">
        <v>75</v>
      </c>
      <c r="J6" s="4" t="s">
        <v>76</v>
      </c>
    </row>
  </sheetData>
  <dataValidations count="3">
    <dataValidation type="list" allowBlank="1" sqref="E5:E2000" xr:uid="{00000000-0002-0000-0200-000002000000}">
      <formula1>"Receita,Despesa"</formula1>
    </dataValidation>
    <dataValidation type="list" allowBlank="1" sqref="H5:H2000" xr:uid="{00000000-0002-0000-0200-000003000000}">
      <formula1>"Débito,Crédito,Dinheiro,Transferência,Pix,Boleto"</formula1>
    </dataValidation>
    <dataValidation type="list" allowBlank="1" sqref="J5:J2000" xr:uid="{00000000-0002-0000-0200-000004000000}">
      <formula1>"Pago,Pendente,Agendado"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Contas!$A$5:$A$200</xm:f>
          </x14:formula1>
          <xm:sqref>B5:B2000</xm:sqref>
        </x14:dataValidation>
        <x14:dataValidation type="list" allowBlank="1" xr:uid="{00000000-0002-0000-0200-000001000000}">
          <x14:formula1>
            <xm:f>Categorias!$A$5:$A$200</xm:f>
          </x14:formula1>
          <xm:sqref>C5:C2000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7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37" width="14" customWidth="1"/>
  </cols>
  <sheetData>
    <row r="1" spans="1:37" ht="17.399999999999999" x14ac:dyDescent="0.3">
      <c r="A1" s="1" t="s">
        <v>77</v>
      </c>
    </row>
    <row r="2" spans="1:37" x14ac:dyDescent="0.3">
      <c r="A2" s="2" t="s">
        <v>78</v>
      </c>
    </row>
    <row r="3" spans="1:37" x14ac:dyDescent="0.3">
      <c r="A3" s="7" t="s">
        <v>79</v>
      </c>
      <c r="B3" s="8">
        <v>2026</v>
      </c>
    </row>
    <row r="5" spans="1:37" ht="27.6" x14ac:dyDescent="0.3">
      <c r="A5" s="3" t="s">
        <v>20</v>
      </c>
      <c r="B5" s="3" t="s">
        <v>80</v>
      </c>
      <c r="C5" s="3" t="s">
        <v>81</v>
      </c>
      <c r="D5" s="3" t="s">
        <v>82</v>
      </c>
      <c r="E5" s="3" t="s">
        <v>83</v>
      </c>
      <c r="F5" s="3" t="s">
        <v>84</v>
      </c>
      <c r="G5" s="3" t="s">
        <v>85</v>
      </c>
      <c r="H5" s="3" t="s">
        <v>86</v>
      </c>
      <c r="I5" s="3" t="s">
        <v>87</v>
      </c>
      <c r="J5" s="3" t="s">
        <v>88</v>
      </c>
      <c r="K5" s="3" t="s">
        <v>89</v>
      </c>
      <c r="L5" s="3" t="s">
        <v>90</v>
      </c>
      <c r="M5" s="3" t="s">
        <v>91</v>
      </c>
      <c r="N5" s="3" t="s">
        <v>92</v>
      </c>
      <c r="O5" s="3" t="s">
        <v>93</v>
      </c>
      <c r="P5" s="3" t="s">
        <v>94</v>
      </c>
      <c r="Q5" s="3" t="s">
        <v>95</v>
      </c>
      <c r="R5" s="3" t="s">
        <v>96</v>
      </c>
      <c r="S5" s="3" t="s">
        <v>97</v>
      </c>
      <c r="T5" s="3" t="s">
        <v>98</v>
      </c>
      <c r="U5" s="3" t="s">
        <v>99</v>
      </c>
      <c r="V5" s="3" t="s">
        <v>100</v>
      </c>
      <c r="W5" s="3" t="s">
        <v>101</v>
      </c>
      <c r="X5" s="3" t="s">
        <v>102</v>
      </c>
      <c r="Y5" s="3" t="s">
        <v>103</v>
      </c>
      <c r="Z5" s="3" t="s">
        <v>104</v>
      </c>
      <c r="AA5" s="3" t="s">
        <v>105</v>
      </c>
      <c r="AB5" s="3" t="s">
        <v>106</v>
      </c>
      <c r="AC5" s="3" t="s">
        <v>107</v>
      </c>
      <c r="AD5" s="3" t="s">
        <v>108</v>
      </c>
      <c r="AE5" s="3" t="s">
        <v>109</v>
      </c>
      <c r="AF5" s="3" t="s">
        <v>110</v>
      </c>
      <c r="AG5" s="3" t="s">
        <v>111</v>
      </c>
      <c r="AH5" s="3" t="s">
        <v>112</v>
      </c>
      <c r="AI5" s="3" t="s">
        <v>113</v>
      </c>
      <c r="AJ5" s="3" t="s">
        <v>114</v>
      </c>
      <c r="AK5" s="3" t="s">
        <v>115</v>
      </c>
    </row>
    <row r="6" spans="1:37" x14ac:dyDescent="0.3">
      <c r="A6" s="9" t="s">
        <v>34</v>
      </c>
      <c r="B6" s="10">
        <v>0</v>
      </c>
      <c r="C6" s="11">
        <f>SUMPRODUCT((Lançamentos!$C$5:$C$2000=$A6)*(Lançamentos!$E$5:$E$2000="Despesa")*(YEAR(Lançamentos!$A$5:$A$2000)=$B$3)*(MONTH(Lançamentos!$A$5:$A$2000)=1)*Lançamentos!$G$5:$G$2000)</f>
        <v>0</v>
      </c>
      <c r="D6" s="12">
        <f t="shared" ref="D6:D17" si="0">B6-C6</f>
        <v>0</v>
      </c>
      <c r="E6" s="10">
        <v>0</v>
      </c>
      <c r="F6" s="11">
        <f>SUMPRODUCT((Lançamentos!$C$5:$C$2000=$A6)*(Lançamentos!$E$5:$E$2000="Despesa")*(YEAR(Lançamentos!$A$5:$A$2000)=$B$3)*(MONTH(Lançamentos!$A$5:$A$2000)=2)*Lançamentos!$G$5:$G$2000)</f>
        <v>0</v>
      </c>
      <c r="G6" s="12">
        <f t="shared" ref="G6:G17" si="1">E6-F6</f>
        <v>0</v>
      </c>
      <c r="H6" s="10">
        <v>0</v>
      </c>
      <c r="I6" s="11">
        <f>SUMPRODUCT((Lançamentos!$C$5:$C$2000=$A6)*(Lançamentos!$E$5:$E$2000="Despesa")*(YEAR(Lançamentos!$A$5:$A$2000)=$B$3)*(MONTH(Lançamentos!$A$5:$A$2000)=3)*Lançamentos!$G$5:$G$2000)</f>
        <v>0</v>
      </c>
      <c r="J6" s="12">
        <f t="shared" ref="J6:J17" si="2">H6-I6</f>
        <v>0</v>
      </c>
      <c r="K6" s="10">
        <v>0</v>
      </c>
      <c r="L6" s="11">
        <f>SUMPRODUCT((Lançamentos!$C$5:$C$2000=$A6)*(Lançamentos!$E$5:$E$2000="Despesa")*(YEAR(Lançamentos!$A$5:$A$2000)=$B$3)*(MONTH(Lançamentos!$A$5:$A$2000)=4)*Lançamentos!$G$5:$G$2000)</f>
        <v>0</v>
      </c>
      <c r="M6" s="12">
        <f t="shared" ref="M6:M17" si="3">K6-L6</f>
        <v>0</v>
      </c>
      <c r="N6" s="10">
        <v>0</v>
      </c>
      <c r="O6" s="11">
        <f>SUMPRODUCT((Lançamentos!$C$5:$C$2000=$A6)*(Lançamentos!$E$5:$E$2000="Despesa")*(YEAR(Lançamentos!$A$5:$A$2000)=$B$3)*(MONTH(Lançamentos!$A$5:$A$2000)=5)*Lançamentos!$G$5:$G$2000)</f>
        <v>0</v>
      </c>
      <c r="P6" s="12">
        <f t="shared" ref="P6:P17" si="4">N6-O6</f>
        <v>0</v>
      </c>
      <c r="Q6" s="10">
        <v>0</v>
      </c>
      <c r="R6" s="11">
        <f>SUMPRODUCT((Lançamentos!$C$5:$C$2000=$A6)*(Lançamentos!$E$5:$E$2000="Despesa")*(YEAR(Lançamentos!$A$5:$A$2000)=$B$3)*(MONTH(Lançamentos!$A$5:$A$2000)=6)*Lançamentos!$G$5:$G$2000)</f>
        <v>0</v>
      </c>
      <c r="S6" s="12">
        <f t="shared" ref="S6:S17" si="5">Q6-R6</f>
        <v>0</v>
      </c>
      <c r="T6" s="10">
        <v>0</v>
      </c>
      <c r="U6" s="11">
        <f>SUMPRODUCT((Lançamentos!$C$5:$C$2000=$A6)*(Lançamentos!$E$5:$E$2000="Despesa")*(YEAR(Lançamentos!$A$5:$A$2000)=$B$3)*(MONTH(Lançamentos!$A$5:$A$2000)=7)*Lançamentos!$G$5:$G$2000)</f>
        <v>0</v>
      </c>
      <c r="V6" s="12">
        <f t="shared" ref="V6:V17" si="6">T6-U6</f>
        <v>0</v>
      </c>
      <c r="W6" s="10">
        <v>0</v>
      </c>
      <c r="X6" s="11">
        <f>SUMPRODUCT((Lançamentos!$C$5:$C$2000=$A6)*(Lançamentos!$E$5:$E$2000="Despesa")*(YEAR(Lançamentos!$A$5:$A$2000)=$B$3)*(MONTH(Lançamentos!$A$5:$A$2000)=8)*Lançamentos!$G$5:$G$2000)</f>
        <v>450.3</v>
      </c>
      <c r="Y6" s="12">
        <f t="shared" ref="Y6:Y17" si="7">W6-X6</f>
        <v>-450.3</v>
      </c>
      <c r="Z6" s="10">
        <v>0</v>
      </c>
      <c r="AA6" s="11">
        <f>SUMPRODUCT((Lançamentos!$C$5:$C$2000=$A6)*(Lançamentos!$E$5:$E$2000="Despesa")*(YEAR(Lançamentos!$A$5:$A$2000)=$B$3)*(MONTH(Lançamentos!$A$5:$A$2000)=9)*Lançamentos!$G$5:$G$2000)</f>
        <v>0</v>
      </c>
      <c r="AB6" s="12">
        <f t="shared" ref="AB6:AB17" si="8">Z6-AA6</f>
        <v>0</v>
      </c>
      <c r="AC6" s="10">
        <v>0</v>
      </c>
      <c r="AD6" s="11">
        <f>SUMPRODUCT((Lançamentos!$C$5:$C$2000=$A6)*(Lançamentos!$E$5:$E$2000="Despesa")*(YEAR(Lançamentos!$A$5:$A$2000)=$B$3)*(MONTH(Lançamentos!$A$5:$A$2000)=10)*Lançamentos!$G$5:$G$2000)</f>
        <v>0</v>
      </c>
      <c r="AE6" s="12">
        <f t="shared" ref="AE6:AE17" si="9">AC6-AD6</f>
        <v>0</v>
      </c>
      <c r="AF6" s="10">
        <v>0</v>
      </c>
      <c r="AG6" s="11">
        <f>SUMPRODUCT((Lançamentos!$C$5:$C$2000=$A6)*(Lançamentos!$E$5:$E$2000="Despesa")*(YEAR(Lançamentos!$A$5:$A$2000)=$B$3)*(MONTH(Lançamentos!$A$5:$A$2000)=11)*Lançamentos!$G$5:$G$2000)</f>
        <v>0</v>
      </c>
      <c r="AH6" s="12">
        <f t="shared" ref="AH6:AH17" si="10">AF6-AG6</f>
        <v>0</v>
      </c>
      <c r="AI6" s="10">
        <v>0</v>
      </c>
      <c r="AJ6" s="11">
        <f>SUMPRODUCT((Lançamentos!$C$5:$C$2000=$A6)*(Lançamentos!$E$5:$E$2000="Despesa")*(YEAR(Lançamentos!$A$5:$A$2000)=$B$3)*(MONTH(Lançamentos!$A$5:$A$2000)=12)*Lançamentos!$G$5:$G$2000)</f>
        <v>0</v>
      </c>
      <c r="AK6" s="12">
        <f t="shared" ref="AK6:AK17" si="11">AI6-AJ6</f>
        <v>0</v>
      </c>
    </row>
    <row r="7" spans="1:37" x14ac:dyDescent="0.3">
      <c r="A7" s="9" t="s">
        <v>10</v>
      </c>
      <c r="B7" s="10">
        <v>0</v>
      </c>
      <c r="C7" s="11">
        <f>SUMPRODUCT((Lançamentos!$C$5:$C$2000=$A7)*(Lançamentos!$E$5:$E$2000="Despesa")*(YEAR(Lançamentos!$A$5:$A$2000)=$B$3)*(MONTH(Lançamentos!$A$5:$A$2000)=1)*Lançamentos!$G$5:$G$2000)</f>
        <v>0</v>
      </c>
      <c r="D7" s="12">
        <f t="shared" si="0"/>
        <v>0</v>
      </c>
      <c r="E7" s="10">
        <v>0</v>
      </c>
      <c r="F7" s="11">
        <f>SUMPRODUCT((Lançamentos!$C$5:$C$2000=$A7)*(Lançamentos!$E$5:$E$2000="Despesa")*(YEAR(Lançamentos!$A$5:$A$2000)=$B$3)*(MONTH(Lançamentos!$A$5:$A$2000)=2)*Lançamentos!$G$5:$G$2000)</f>
        <v>0</v>
      </c>
      <c r="G7" s="12">
        <f t="shared" si="1"/>
        <v>0</v>
      </c>
      <c r="H7" s="10">
        <v>0</v>
      </c>
      <c r="I7" s="11">
        <f>SUMPRODUCT((Lançamentos!$C$5:$C$2000=$A7)*(Lançamentos!$E$5:$E$2000="Despesa")*(YEAR(Lançamentos!$A$5:$A$2000)=$B$3)*(MONTH(Lançamentos!$A$5:$A$2000)=3)*Lançamentos!$G$5:$G$2000)</f>
        <v>0</v>
      </c>
      <c r="J7" s="12">
        <f t="shared" si="2"/>
        <v>0</v>
      </c>
      <c r="K7" s="10">
        <v>0</v>
      </c>
      <c r="L7" s="11">
        <f>SUMPRODUCT((Lançamentos!$C$5:$C$2000=$A7)*(Lançamentos!$E$5:$E$2000="Despesa")*(YEAR(Lançamentos!$A$5:$A$2000)=$B$3)*(MONTH(Lançamentos!$A$5:$A$2000)=4)*Lançamentos!$G$5:$G$2000)</f>
        <v>0</v>
      </c>
      <c r="M7" s="12">
        <f t="shared" si="3"/>
        <v>0</v>
      </c>
      <c r="N7" s="10">
        <v>0</v>
      </c>
      <c r="O7" s="11">
        <f>SUMPRODUCT((Lançamentos!$C$5:$C$2000=$A7)*(Lançamentos!$E$5:$E$2000="Despesa")*(YEAR(Lançamentos!$A$5:$A$2000)=$B$3)*(MONTH(Lançamentos!$A$5:$A$2000)=5)*Lançamentos!$G$5:$G$2000)</f>
        <v>0</v>
      </c>
      <c r="P7" s="12">
        <f t="shared" si="4"/>
        <v>0</v>
      </c>
      <c r="Q7" s="10">
        <v>0</v>
      </c>
      <c r="R7" s="11">
        <f>SUMPRODUCT((Lançamentos!$C$5:$C$2000=$A7)*(Lançamentos!$E$5:$E$2000="Despesa")*(YEAR(Lançamentos!$A$5:$A$2000)=$B$3)*(MONTH(Lançamentos!$A$5:$A$2000)=6)*Lançamentos!$G$5:$G$2000)</f>
        <v>0</v>
      </c>
      <c r="S7" s="12">
        <f t="shared" si="5"/>
        <v>0</v>
      </c>
      <c r="T7" s="10">
        <v>0</v>
      </c>
      <c r="U7" s="11">
        <f>SUMPRODUCT((Lançamentos!$C$5:$C$2000=$A7)*(Lançamentos!$E$5:$E$2000="Despesa")*(YEAR(Lançamentos!$A$5:$A$2000)=$B$3)*(MONTH(Lançamentos!$A$5:$A$2000)=7)*Lançamentos!$G$5:$G$2000)</f>
        <v>0</v>
      </c>
      <c r="V7" s="12">
        <f t="shared" si="6"/>
        <v>0</v>
      </c>
      <c r="W7" s="10">
        <v>0</v>
      </c>
      <c r="X7" s="11">
        <f>SUMPRODUCT((Lançamentos!$C$5:$C$2000=$A7)*(Lançamentos!$E$5:$E$2000="Despesa")*(YEAR(Lançamentos!$A$5:$A$2000)=$B$3)*(MONTH(Lançamentos!$A$5:$A$2000)=8)*Lançamentos!$G$5:$G$2000)</f>
        <v>0</v>
      </c>
      <c r="Y7" s="12">
        <f t="shared" si="7"/>
        <v>0</v>
      </c>
      <c r="Z7" s="10">
        <v>0</v>
      </c>
      <c r="AA7" s="11">
        <f>SUMPRODUCT((Lançamentos!$C$5:$C$2000=$A7)*(Lançamentos!$E$5:$E$2000="Despesa")*(YEAR(Lançamentos!$A$5:$A$2000)=$B$3)*(MONTH(Lançamentos!$A$5:$A$2000)=9)*Lançamentos!$G$5:$G$2000)</f>
        <v>0</v>
      </c>
      <c r="AB7" s="12">
        <f t="shared" si="8"/>
        <v>0</v>
      </c>
      <c r="AC7" s="10">
        <v>0</v>
      </c>
      <c r="AD7" s="11">
        <f>SUMPRODUCT((Lançamentos!$C$5:$C$2000=$A7)*(Lançamentos!$E$5:$E$2000="Despesa")*(YEAR(Lançamentos!$A$5:$A$2000)=$B$3)*(MONTH(Lançamentos!$A$5:$A$2000)=10)*Lançamentos!$G$5:$G$2000)</f>
        <v>0</v>
      </c>
      <c r="AE7" s="12">
        <f t="shared" si="9"/>
        <v>0</v>
      </c>
      <c r="AF7" s="10">
        <v>0</v>
      </c>
      <c r="AG7" s="11">
        <f>SUMPRODUCT((Lançamentos!$C$5:$C$2000=$A7)*(Lançamentos!$E$5:$E$2000="Despesa")*(YEAR(Lançamentos!$A$5:$A$2000)=$B$3)*(MONTH(Lançamentos!$A$5:$A$2000)=11)*Lançamentos!$G$5:$G$2000)</f>
        <v>0</v>
      </c>
      <c r="AH7" s="12">
        <f t="shared" si="10"/>
        <v>0</v>
      </c>
      <c r="AI7" s="10">
        <v>0</v>
      </c>
      <c r="AJ7" s="11">
        <f>SUMPRODUCT((Lançamentos!$C$5:$C$2000=$A7)*(Lançamentos!$E$5:$E$2000="Despesa")*(YEAR(Lançamentos!$A$5:$A$2000)=$B$3)*(MONTH(Lançamentos!$A$5:$A$2000)=12)*Lançamentos!$G$5:$G$2000)</f>
        <v>0</v>
      </c>
      <c r="AK7" s="12">
        <f t="shared" si="11"/>
        <v>0</v>
      </c>
    </row>
    <row r="8" spans="1:37" x14ac:dyDescent="0.3">
      <c r="A8" s="9" t="s">
        <v>56</v>
      </c>
      <c r="B8" s="10">
        <v>0</v>
      </c>
      <c r="C8" s="11">
        <f>SUMPRODUCT((Lançamentos!$C$5:$C$2000=$A8)*(Lançamentos!$E$5:$E$2000="Despesa")*(YEAR(Lançamentos!$A$5:$A$2000)=$B$3)*(MONTH(Lançamentos!$A$5:$A$2000)=1)*Lançamentos!$G$5:$G$2000)</f>
        <v>0</v>
      </c>
      <c r="D8" s="12">
        <f t="shared" si="0"/>
        <v>0</v>
      </c>
      <c r="E8" s="10">
        <v>0</v>
      </c>
      <c r="F8" s="11">
        <f>SUMPRODUCT((Lançamentos!$C$5:$C$2000=$A8)*(Lançamentos!$E$5:$E$2000="Despesa")*(YEAR(Lançamentos!$A$5:$A$2000)=$B$3)*(MONTH(Lançamentos!$A$5:$A$2000)=2)*Lançamentos!$G$5:$G$2000)</f>
        <v>0</v>
      </c>
      <c r="G8" s="12">
        <f t="shared" si="1"/>
        <v>0</v>
      </c>
      <c r="H8" s="10">
        <v>0</v>
      </c>
      <c r="I8" s="11">
        <f>SUMPRODUCT((Lançamentos!$C$5:$C$2000=$A8)*(Lançamentos!$E$5:$E$2000="Despesa")*(YEAR(Lançamentos!$A$5:$A$2000)=$B$3)*(MONTH(Lançamentos!$A$5:$A$2000)=3)*Lançamentos!$G$5:$G$2000)</f>
        <v>0</v>
      </c>
      <c r="J8" s="12">
        <f t="shared" si="2"/>
        <v>0</v>
      </c>
      <c r="K8" s="10">
        <v>0</v>
      </c>
      <c r="L8" s="11">
        <f>SUMPRODUCT((Lançamentos!$C$5:$C$2000=$A8)*(Lançamentos!$E$5:$E$2000="Despesa")*(YEAR(Lançamentos!$A$5:$A$2000)=$B$3)*(MONTH(Lançamentos!$A$5:$A$2000)=4)*Lançamentos!$G$5:$G$2000)</f>
        <v>0</v>
      </c>
      <c r="M8" s="12">
        <f t="shared" si="3"/>
        <v>0</v>
      </c>
      <c r="N8" s="10">
        <v>0</v>
      </c>
      <c r="O8" s="11">
        <f>SUMPRODUCT((Lançamentos!$C$5:$C$2000=$A8)*(Lançamentos!$E$5:$E$2000="Despesa")*(YEAR(Lançamentos!$A$5:$A$2000)=$B$3)*(MONTH(Lançamentos!$A$5:$A$2000)=5)*Lançamentos!$G$5:$G$2000)</f>
        <v>0</v>
      </c>
      <c r="P8" s="12">
        <f t="shared" si="4"/>
        <v>0</v>
      </c>
      <c r="Q8" s="10">
        <v>0</v>
      </c>
      <c r="R8" s="11">
        <f>SUMPRODUCT((Lançamentos!$C$5:$C$2000=$A8)*(Lançamentos!$E$5:$E$2000="Despesa")*(YEAR(Lançamentos!$A$5:$A$2000)=$B$3)*(MONTH(Lançamentos!$A$5:$A$2000)=6)*Lançamentos!$G$5:$G$2000)</f>
        <v>0</v>
      </c>
      <c r="S8" s="12">
        <f t="shared" si="5"/>
        <v>0</v>
      </c>
      <c r="T8" s="10">
        <v>0</v>
      </c>
      <c r="U8" s="11">
        <f>SUMPRODUCT((Lançamentos!$C$5:$C$2000=$A8)*(Lançamentos!$E$5:$E$2000="Despesa")*(YEAR(Lançamentos!$A$5:$A$2000)=$B$3)*(MONTH(Lançamentos!$A$5:$A$2000)=7)*Lançamentos!$G$5:$G$2000)</f>
        <v>0</v>
      </c>
      <c r="V8" s="12">
        <f t="shared" si="6"/>
        <v>0</v>
      </c>
      <c r="W8" s="10">
        <v>0</v>
      </c>
      <c r="X8" s="11">
        <f>SUMPRODUCT((Lançamentos!$C$5:$C$2000=$A8)*(Lançamentos!$E$5:$E$2000="Despesa")*(YEAR(Lançamentos!$A$5:$A$2000)=$B$3)*(MONTH(Lançamentos!$A$5:$A$2000)=8)*Lançamentos!$G$5:$G$2000)</f>
        <v>0</v>
      </c>
      <c r="Y8" s="12">
        <f t="shared" si="7"/>
        <v>0</v>
      </c>
      <c r="Z8" s="10">
        <v>0</v>
      </c>
      <c r="AA8" s="11">
        <f>SUMPRODUCT((Lançamentos!$C$5:$C$2000=$A8)*(Lançamentos!$E$5:$E$2000="Despesa")*(YEAR(Lançamentos!$A$5:$A$2000)=$B$3)*(MONTH(Lançamentos!$A$5:$A$2000)=9)*Lançamentos!$G$5:$G$2000)</f>
        <v>0</v>
      </c>
      <c r="AB8" s="12">
        <f t="shared" si="8"/>
        <v>0</v>
      </c>
      <c r="AC8" s="10">
        <v>0</v>
      </c>
      <c r="AD8" s="11">
        <f>SUMPRODUCT((Lançamentos!$C$5:$C$2000=$A8)*(Lançamentos!$E$5:$E$2000="Despesa")*(YEAR(Lançamentos!$A$5:$A$2000)=$B$3)*(MONTH(Lançamentos!$A$5:$A$2000)=10)*Lançamentos!$G$5:$G$2000)</f>
        <v>0</v>
      </c>
      <c r="AE8" s="12">
        <f t="shared" si="9"/>
        <v>0</v>
      </c>
      <c r="AF8" s="10">
        <v>0</v>
      </c>
      <c r="AG8" s="11">
        <f>SUMPRODUCT((Lançamentos!$C$5:$C$2000=$A8)*(Lançamentos!$E$5:$E$2000="Despesa")*(YEAR(Lançamentos!$A$5:$A$2000)=$B$3)*(MONTH(Lançamentos!$A$5:$A$2000)=11)*Lançamentos!$G$5:$G$2000)</f>
        <v>0</v>
      </c>
      <c r="AH8" s="12">
        <f t="shared" si="10"/>
        <v>0</v>
      </c>
      <c r="AI8" s="10">
        <v>0</v>
      </c>
      <c r="AJ8" s="11">
        <f>SUMPRODUCT((Lançamentos!$C$5:$C$2000=$A8)*(Lançamentos!$E$5:$E$2000="Despesa")*(YEAR(Lançamentos!$A$5:$A$2000)=$B$3)*(MONTH(Lançamentos!$A$5:$A$2000)=12)*Lançamentos!$G$5:$G$2000)</f>
        <v>0</v>
      </c>
      <c r="AK8" s="12">
        <f t="shared" si="11"/>
        <v>0</v>
      </c>
    </row>
    <row r="9" spans="1:37" x14ac:dyDescent="0.3">
      <c r="A9" s="9" t="s">
        <v>45</v>
      </c>
      <c r="B9" s="10">
        <v>0</v>
      </c>
      <c r="C9" s="11">
        <f>SUMPRODUCT((Lançamentos!$C$5:$C$2000=$A9)*(Lançamentos!$E$5:$E$2000="Despesa")*(YEAR(Lançamentos!$A$5:$A$2000)=$B$3)*(MONTH(Lançamentos!$A$5:$A$2000)=1)*Lançamentos!$G$5:$G$2000)</f>
        <v>0</v>
      </c>
      <c r="D9" s="12">
        <f t="shared" si="0"/>
        <v>0</v>
      </c>
      <c r="E9" s="10">
        <v>0</v>
      </c>
      <c r="F9" s="11">
        <f>SUMPRODUCT((Lançamentos!$C$5:$C$2000=$A9)*(Lançamentos!$E$5:$E$2000="Despesa")*(YEAR(Lançamentos!$A$5:$A$2000)=$B$3)*(MONTH(Lançamentos!$A$5:$A$2000)=2)*Lançamentos!$G$5:$G$2000)</f>
        <v>0</v>
      </c>
      <c r="G9" s="12">
        <f t="shared" si="1"/>
        <v>0</v>
      </c>
      <c r="H9" s="10">
        <v>0</v>
      </c>
      <c r="I9" s="11">
        <f>SUMPRODUCT((Lançamentos!$C$5:$C$2000=$A9)*(Lançamentos!$E$5:$E$2000="Despesa")*(YEAR(Lançamentos!$A$5:$A$2000)=$B$3)*(MONTH(Lançamentos!$A$5:$A$2000)=3)*Lançamentos!$G$5:$G$2000)</f>
        <v>0</v>
      </c>
      <c r="J9" s="12">
        <f t="shared" si="2"/>
        <v>0</v>
      </c>
      <c r="K9" s="10">
        <v>0</v>
      </c>
      <c r="L9" s="11">
        <f>SUMPRODUCT((Lançamentos!$C$5:$C$2000=$A9)*(Lançamentos!$E$5:$E$2000="Despesa")*(YEAR(Lançamentos!$A$5:$A$2000)=$B$3)*(MONTH(Lançamentos!$A$5:$A$2000)=4)*Lançamentos!$G$5:$G$2000)</f>
        <v>0</v>
      </c>
      <c r="M9" s="12">
        <f t="shared" si="3"/>
        <v>0</v>
      </c>
      <c r="N9" s="10">
        <v>0</v>
      </c>
      <c r="O9" s="11">
        <f>SUMPRODUCT((Lançamentos!$C$5:$C$2000=$A9)*(Lançamentos!$E$5:$E$2000="Despesa")*(YEAR(Lançamentos!$A$5:$A$2000)=$B$3)*(MONTH(Lançamentos!$A$5:$A$2000)=5)*Lançamentos!$G$5:$G$2000)</f>
        <v>0</v>
      </c>
      <c r="P9" s="12">
        <f t="shared" si="4"/>
        <v>0</v>
      </c>
      <c r="Q9" s="10">
        <v>0</v>
      </c>
      <c r="R9" s="11">
        <f>SUMPRODUCT((Lançamentos!$C$5:$C$2000=$A9)*(Lançamentos!$E$5:$E$2000="Despesa")*(YEAR(Lançamentos!$A$5:$A$2000)=$B$3)*(MONTH(Lançamentos!$A$5:$A$2000)=6)*Lançamentos!$G$5:$G$2000)</f>
        <v>0</v>
      </c>
      <c r="S9" s="12">
        <f t="shared" si="5"/>
        <v>0</v>
      </c>
      <c r="T9" s="10">
        <v>0</v>
      </c>
      <c r="U9" s="11">
        <f>SUMPRODUCT((Lançamentos!$C$5:$C$2000=$A9)*(Lançamentos!$E$5:$E$2000="Despesa")*(YEAR(Lançamentos!$A$5:$A$2000)=$B$3)*(MONTH(Lançamentos!$A$5:$A$2000)=7)*Lançamentos!$G$5:$G$2000)</f>
        <v>0</v>
      </c>
      <c r="V9" s="12">
        <f t="shared" si="6"/>
        <v>0</v>
      </c>
      <c r="W9" s="10">
        <v>0</v>
      </c>
      <c r="X9" s="11">
        <f>SUMPRODUCT((Lançamentos!$C$5:$C$2000=$A9)*(Lançamentos!$E$5:$E$2000="Despesa")*(YEAR(Lançamentos!$A$5:$A$2000)=$B$3)*(MONTH(Lançamentos!$A$5:$A$2000)=8)*Lançamentos!$G$5:$G$2000)</f>
        <v>0</v>
      </c>
      <c r="Y9" s="12">
        <f t="shared" si="7"/>
        <v>0</v>
      </c>
      <c r="Z9" s="10">
        <v>0</v>
      </c>
      <c r="AA9" s="11">
        <f>SUMPRODUCT((Lançamentos!$C$5:$C$2000=$A9)*(Lançamentos!$E$5:$E$2000="Despesa")*(YEAR(Lançamentos!$A$5:$A$2000)=$B$3)*(MONTH(Lançamentos!$A$5:$A$2000)=9)*Lançamentos!$G$5:$G$2000)</f>
        <v>0</v>
      </c>
      <c r="AB9" s="12">
        <f t="shared" si="8"/>
        <v>0</v>
      </c>
      <c r="AC9" s="10">
        <v>0</v>
      </c>
      <c r="AD9" s="11">
        <f>SUMPRODUCT((Lançamentos!$C$5:$C$2000=$A9)*(Lançamentos!$E$5:$E$2000="Despesa")*(YEAR(Lançamentos!$A$5:$A$2000)=$B$3)*(MONTH(Lançamentos!$A$5:$A$2000)=10)*Lançamentos!$G$5:$G$2000)</f>
        <v>0</v>
      </c>
      <c r="AE9" s="12">
        <f t="shared" si="9"/>
        <v>0</v>
      </c>
      <c r="AF9" s="10">
        <v>0</v>
      </c>
      <c r="AG9" s="11">
        <f>SUMPRODUCT((Lançamentos!$C$5:$C$2000=$A9)*(Lançamentos!$E$5:$E$2000="Despesa")*(YEAR(Lançamentos!$A$5:$A$2000)=$B$3)*(MONTH(Lançamentos!$A$5:$A$2000)=11)*Lançamentos!$G$5:$G$2000)</f>
        <v>0</v>
      </c>
      <c r="AH9" s="12">
        <f t="shared" si="10"/>
        <v>0</v>
      </c>
      <c r="AI9" s="10">
        <v>0</v>
      </c>
      <c r="AJ9" s="11">
        <f>SUMPRODUCT((Lançamentos!$C$5:$C$2000=$A9)*(Lançamentos!$E$5:$E$2000="Despesa")*(YEAR(Lançamentos!$A$5:$A$2000)=$B$3)*(MONTH(Lançamentos!$A$5:$A$2000)=12)*Lançamentos!$G$5:$G$2000)</f>
        <v>0</v>
      </c>
      <c r="AK9" s="12">
        <f t="shared" si="11"/>
        <v>0</v>
      </c>
    </row>
    <row r="10" spans="1:37" x14ac:dyDescent="0.3">
      <c r="A10" s="9" t="s">
        <v>15</v>
      </c>
      <c r="B10" s="10">
        <v>0</v>
      </c>
      <c r="C10" s="11">
        <f>SUMPRODUCT((Lançamentos!$C$5:$C$2000=$A10)*(Lançamentos!$E$5:$E$2000="Despesa")*(YEAR(Lançamentos!$A$5:$A$2000)=$B$3)*(MONTH(Lançamentos!$A$5:$A$2000)=1)*Lançamentos!$G$5:$G$2000)</f>
        <v>0</v>
      </c>
      <c r="D10" s="12">
        <f t="shared" si="0"/>
        <v>0</v>
      </c>
      <c r="E10" s="10">
        <v>0</v>
      </c>
      <c r="F10" s="11">
        <f>SUMPRODUCT((Lançamentos!$C$5:$C$2000=$A10)*(Lançamentos!$E$5:$E$2000="Despesa")*(YEAR(Lançamentos!$A$5:$A$2000)=$B$3)*(MONTH(Lançamentos!$A$5:$A$2000)=2)*Lançamentos!$G$5:$G$2000)</f>
        <v>0</v>
      </c>
      <c r="G10" s="12">
        <f t="shared" si="1"/>
        <v>0</v>
      </c>
      <c r="H10" s="10">
        <v>0</v>
      </c>
      <c r="I10" s="11">
        <f>SUMPRODUCT((Lançamentos!$C$5:$C$2000=$A10)*(Lançamentos!$E$5:$E$2000="Despesa")*(YEAR(Lançamentos!$A$5:$A$2000)=$B$3)*(MONTH(Lançamentos!$A$5:$A$2000)=3)*Lançamentos!$G$5:$G$2000)</f>
        <v>0</v>
      </c>
      <c r="J10" s="12">
        <f t="shared" si="2"/>
        <v>0</v>
      </c>
      <c r="K10" s="10">
        <v>0</v>
      </c>
      <c r="L10" s="11">
        <f>SUMPRODUCT((Lançamentos!$C$5:$C$2000=$A10)*(Lançamentos!$E$5:$E$2000="Despesa")*(YEAR(Lançamentos!$A$5:$A$2000)=$B$3)*(MONTH(Lançamentos!$A$5:$A$2000)=4)*Lançamentos!$G$5:$G$2000)</f>
        <v>0</v>
      </c>
      <c r="M10" s="12">
        <f t="shared" si="3"/>
        <v>0</v>
      </c>
      <c r="N10" s="10">
        <v>0</v>
      </c>
      <c r="O10" s="11">
        <f>SUMPRODUCT((Lançamentos!$C$5:$C$2000=$A10)*(Lançamentos!$E$5:$E$2000="Despesa")*(YEAR(Lançamentos!$A$5:$A$2000)=$B$3)*(MONTH(Lançamentos!$A$5:$A$2000)=5)*Lançamentos!$G$5:$G$2000)</f>
        <v>0</v>
      </c>
      <c r="P10" s="12">
        <f t="shared" si="4"/>
        <v>0</v>
      </c>
      <c r="Q10" s="10">
        <v>0</v>
      </c>
      <c r="R10" s="11">
        <f>SUMPRODUCT((Lançamentos!$C$5:$C$2000=$A10)*(Lançamentos!$E$5:$E$2000="Despesa")*(YEAR(Lançamentos!$A$5:$A$2000)=$B$3)*(MONTH(Lançamentos!$A$5:$A$2000)=6)*Lançamentos!$G$5:$G$2000)</f>
        <v>0</v>
      </c>
      <c r="S10" s="12">
        <f t="shared" si="5"/>
        <v>0</v>
      </c>
      <c r="T10" s="10">
        <v>0</v>
      </c>
      <c r="U10" s="11">
        <f>SUMPRODUCT((Lançamentos!$C$5:$C$2000=$A10)*(Lançamentos!$E$5:$E$2000="Despesa")*(YEAR(Lançamentos!$A$5:$A$2000)=$B$3)*(MONTH(Lançamentos!$A$5:$A$2000)=7)*Lançamentos!$G$5:$G$2000)</f>
        <v>0</v>
      </c>
      <c r="V10" s="12">
        <f t="shared" si="6"/>
        <v>0</v>
      </c>
      <c r="W10" s="10">
        <v>0</v>
      </c>
      <c r="X10" s="11">
        <f>SUMPRODUCT((Lançamentos!$C$5:$C$2000=$A10)*(Lançamentos!$E$5:$E$2000="Despesa")*(YEAR(Lançamentos!$A$5:$A$2000)=$B$3)*(MONTH(Lançamentos!$A$5:$A$2000)=8)*Lançamentos!$G$5:$G$2000)</f>
        <v>0</v>
      </c>
      <c r="Y10" s="12">
        <f t="shared" si="7"/>
        <v>0</v>
      </c>
      <c r="Z10" s="10">
        <v>0</v>
      </c>
      <c r="AA10" s="11">
        <f>SUMPRODUCT((Lançamentos!$C$5:$C$2000=$A10)*(Lançamentos!$E$5:$E$2000="Despesa")*(YEAR(Lançamentos!$A$5:$A$2000)=$B$3)*(MONTH(Lançamentos!$A$5:$A$2000)=9)*Lançamentos!$G$5:$G$2000)</f>
        <v>0</v>
      </c>
      <c r="AB10" s="12">
        <f t="shared" si="8"/>
        <v>0</v>
      </c>
      <c r="AC10" s="10">
        <v>0</v>
      </c>
      <c r="AD10" s="11">
        <f>SUMPRODUCT((Lançamentos!$C$5:$C$2000=$A10)*(Lançamentos!$E$5:$E$2000="Despesa")*(YEAR(Lançamentos!$A$5:$A$2000)=$B$3)*(MONTH(Lançamentos!$A$5:$A$2000)=10)*Lançamentos!$G$5:$G$2000)</f>
        <v>0</v>
      </c>
      <c r="AE10" s="12">
        <f t="shared" si="9"/>
        <v>0</v>
      </c>
      <c r="AF10" s="10">
        <v>0</v>
      </c>
      <c r="AG10" s="11">
        <f>SUMPRODUCT((Lançamentos!$C$5:$C$2000=$A10)*(Lançamentos!$E$5:$E$2000="Despesa")*(YEAR(Lançamentos!$A$5:$A$2000)=$B$3)*(MONTH(Lançamentos!$A$5:$A$2000)=11)*Lançamentos!$G$5:$G$2000)</f>
        <v>0</v>
      </c>
      <c r="AH10" s="12">
        <f t="shared" si="10"/>
        <v>0</v>
      </c>
      <c r="AI10" s="10">
        <v>0</v>
      </c>
      <c r="AJ10" s="11">
        <f>SUMPRODUCT((Lançamentos!$C$5:$C$2000=$A10)*(Lançamentos!$E$5:$E$2000="Despesa")*(YEAR(Lançamentos!$A$5:$A$2000)=$B$3)*(MONTH(Lançamentos!$A$5:$A$2000)=12)*Lançamentos!$G$5:$G$2000)</f>
        <v>0</v>
      </c>
      <c r="AK10" s="12">
        <f t="shared" si="11"/>
        <v>0</v>
      </c>
    </row>
    <row r="11" spans="1:37" x14ac:dyDescent="0.3">
      <c r="A11" s="9" t="s">
        <v>48</v>
      </c>
      <c r="B11" s="10">
        <v>0</v>
      </c>
      <c r="C11" s="11">
        <f>SUMPRODUCT((Lançamentos!$C$5:$C$2000=$A11)*(Lançamentos!$E$5:$E$2000="Despesa")*(YEAR(Lançamentos!$A$5:$A$2000)=$B$3)*(MONTH(Lançamentos!$A$5:$A$2000)=1)*Lançamentos!$G$5:$G$2000)</f>
        <v>0</v>
      </c>
      <c r="D11" s="12">
        <f t="shared" si="0"/>
        <v>0</v>
      </c>
      <c r="E11" s="10">
        <v>0</v>
      </c>
      <c r="F11" s="11">
        <f>SUMPRODUCT((Lançamentos!$C$5:$C$2000=$A11)*(Lançamentos!$E$5:$E$2000="Despesa")*(YEAR(Lançamentos!$A$5:$A$2000)=$B$3)*(MONTH(Lançamentos!$A$5:$A$2000)=2)*Lançamentos!$G$5:$G$2000)</f>
        <v>0</v>
      </c>
      <c r="G11" s="12">
        <f t="shared" si="1"/>
        <v>0</v>
      </c>
      <c r="H11" s="10">
        <v>0</v>
      </c>
      <c r="I11" s="11">
        <f>SUMPRODUCT((Lançamentos!$C$5:$C$2000=$A11)*(Lançamentos!$E$5:$E$2000="Despesa")*(YEAR(Lançamentos!$A$5:$A$2000)=$B$3)*(MONTH(Lançamentos!$A$5:$A$2000)=3)*Lançamentos!$G$5:$G$2000)</f>
        <v>0</v>
      </c>
      <c r="J11" s="12">
        <f t="shared" si="2"/>
        <v>0</v>
      </c>
      <c r="K11" s="10">
        <v>0</v>
      </c>
      <c r="L11" s="11">
        <f>SUMPRODUCT((Lançamentos!$C$5:$C$2000=$A11)*(Lançamentos!$E$5:$E$2000="Despesa")*(YEAR(Lançamentos!$A$5:$A$2000)=$B$3)*(MONTH(Lançamentos!$A$5:$A$2000)=4)*Lançamentos!$G$5:$G$2000)</f>
        <v>0</v>
      </c>
      <c r="M11" s="12">
        <f t="shared" si="3"/>
        <v>0</v>
      </c>
      <c r="N11" s="10">
        <v>0</v>
      </c>
      <c r="O11" s="11">
        <f>SUMPRODUCT((Lançamentos!$C$5:$C$2000=$A11)*(Lançamentos!$E$5:$E$2000="Despesa")*(YEAR(Lançamentos!$A$5:$A$2000)=$B$3)*(MONTH(Lançamentos!$A$5:$A$2000)=5)*Lançamentos!$G$5:$G$2000)</f>
        <v>0</v>
      </c>
      <c r="P11" s="12">
        <f t="shared" si="4"/>
        <v>0</v>
      </c>
      <c r="Q11" s="10">
        <v>0</v>
      </c>
      <c r="R11" s="11">
        <f>SUMPRODUCT((Lançamentos!$C$5:$C$2000=$A11)*(Lançamentos!$E$5:$E$2000="Despesa")*(YEAR(Lançamentos!$A$5:$A$2000)=$B$3)*(MONTH(Lançamentos!$A$5:$A$2000)=6)*Lançamentos!$G$5:$G$2000)</f>
        <v>0</v>
      </c>
      <c r="S11" s="12">
        <f t="shared" si="5"/>
        <v>0</v>
      </c>
      <c r="T11" s="10">
        <v>0</v>
      </c>
      <c r="U11" s="11">
        <f>SUMPRODUCT((Lançamentos!$C$5:$C$2000=$A11)*(Lançamentos!$E$5:$E$2000="Despesa")*(YEAR(Lançamentos!$A$5:$A$2000)=$B$3)*(MONTH(Lançamentos!$A$5:$A$2000)=7)*Lançamentos!$G$5:$G$2000)</f>
        <v>0</v>
      </c>
      <c r="V11" s="12">
        <f t="shared" si="6"/>
        <v>0</v>
      </c>
      <c r="W11" s="10">
        <v>0</v>
      </c>
      <c r="X11" s="11">
        <f>SUMPRODUCT((Lançamentos!$C$5:$C$2000=$A11)*(Lançamentos!$E$5:$E$2000="Despesa")*(YEAR(Lançamentos!$A$5:$A$2000)=$B$3)*(MONTH(Lançamentos!$A$5:$A$2000)=8)*Lançamentos!$G$5:$G$2000)</f>
        <v>0</v>
      </c>
      <c r="Y11" s="12">
        <f t="shared" si="7"/>
        <v>0</v>
      </c>
      <c r="Z11" s="10">
        <v>0</v>
      </c>
      <c r="AA11" s="11">
        <f>SUMPRODUCT((Lançamentos!$C$5:$C$2000=$A11)*(Lançamentos!$E$5:$E$2000="Despesa")*(YEAR(Lançamentos!$A$5:$A$2000)=$B$3)*(MONTH(Lançamentos!$A$5:$A$2000)=9)*Lançamentos!$G$5:$G$2000)</f>
        <v>0</v>
      </c>
      <c r="AB11" s="12">
        <f t="shared" si="8"/>
        <v>0</v>
      </c>
      <c r="AC11" s="10">
        <v>0</v>
      </c>
      <c r="AD11" s="11">
        <f>SUMPRODUCT((Lançamentos!$C$5:$C$2000=$A11)*(Lançamentos!$E$5:$E$2000="Despesa")*(YEAR(Lançamentos!$A$5:$A$2000)=$B$3)*(MONTH(Lançamentos!$A$5:$A$2000)=10)*Lançamentos!$G$5:$G$2000)</f>
        <v>0</v>
      </c>
      <c r="AE11" s="12">
        <f t="shared" si="9"/>
        <v>0</v>
      </c>
      <c r="AF11" s="10">
        <v>0</v>
      </c>
      <c r="AG11" s="11">
        <f>SUMPRODUCT((Lançamentos!$C$5:$C$2000=$A11)*(Lançamentos!$E$5:$E$2000="Despesa")*(YEAR(Lançamentos!$A$5:$A$2000)=$B$3)*(MONTH(Lançamentos!$A$5:$A$2000)=11)*Lançamentos!$G$5:$G$2000)</f>
        <v>0</v>
      </c>
      <c r="AH11" s="12">
        <f t="shared" si="10"/>
        <v>0</v>
      </c>
      <c r="AI11" s="10">
        <v>0</v>
      </c>
      <c r="AJ11" s="11">
        <f>SUMPRODUCT((Lançamentos!$C$5:$C$2000=$A11)*(Lançamentos!$E$5:$E$2000="Despesa")*(YEAR(Lançamentos!$A$5:$A$2000)=$B$3)*(MONTH(Lançamentos!$A$5:$A$2000)=12)*Lançamentos!$G$5:$G$2000)</f>
        <v>0</v>
      </c>
      <c r="AK11" s="12">
        <f t="shared" si="11"/>
        <v>0</v>
      </c>
    </row>
    <row r="12" spans="1:37" x14ac:dyDescent="0.3">
      <c r="A12" s="9" t="s">
        <v>27</v>
      </c>
      <c r="B12" s="10">
        <v>0</v>
      </c>
      <c r="C12" s="11">
        <f>SUMPRODUCT((Lançamentos!$C$5:$C$2000=$A12)*(Lançamentos!$E$5:$E$2000="Despesa")*(YEAR(Lançamentos!$A$5:$A$2000)=$B$3)*(MONTH(Lançamentos!$A$5:$A$2000)=1)*Lançamentos!$G$5:$G$2000)</f>
        <v>0</v>
      </c>
      <c r="D12" s="12">
        <f t="shared" si="0"/>
        <v>0</v>
      </c>
      <c r="E12" s="10">
        <v>0</v>
      </c>
      <c r="F12" s="11">
        <f>SUMPRODUCT((Lançamentos!$C$5:$C$2000=$A12)*(Lançamentos!$E$5:$E$2000="Despesa")*(YEAR(Lançamentos!$A$5:$A$2000)=$B$3)*(MONTH(Lançamentos!$A$5:$A$2000)=2)*Lançamentos!$G$5:$G$2000)</f>
        <v>0</v>
      </c>
      <c r="G12" s="12">
        <f t="shared" si="1"/>
        <v>0</v>
      </c>
      <c r="H12" s="10">
        <v>0</v>
      </c>
      <c r="I12" s="11">
        <f>SUMPRODUCT((Lançamentos!$C$5:$C$2000=$A12)*(Lançamentos!$E$5:$E$2000="Despesa")*(YEAR(Lançamentos!$A$5:$A$2000)=$B$3)*(MONTH(Lançamentos!$A$5:$A$2000)=3)*Lançamentos!$G$5:$G$2000)</f>
        <v>0</v>
      </c>
      <c r="J12" s="12">
        <f t="shared" si="2"/>
        <v>0</v>
      </c>
      <c r="K12" s="10">
        <v>0</v>
      </c>
      <c r="L12" s="11">
        <f>SUMPRODUCT((Lançamentos!$C$5:$C$2000=$A12)*(Lançamentos!$E$5:$E$2000="Despesa")*(YEAR(Lançamentos!$A$5:$A$2000)=$B$3)*(MONTH(Lançamentos!$A$5:$A$2000)=4)*Lançamentos!$G$5:$G$2000)</f>
        <v>0</v>
      </c>
      <c r="M12" s="12">
        <f t="shared" si="3"/>
        <v>0</v>
      </c>
      <c r="N12" s="10">
        <v>0</v>
      </c>
      <c r="O12" s="11">
        <f>SUMPRODUCT((Lançamentos!$C$5:$C$2000=$A12)*(Lançamentos!$E$5:$E$2000="Despesa")*(YEAR(Lançamentos!$A$5:$A$2000)=$B$3)*(MONTH(Lançamentos!$A$5:$A$2000)=5)*Lançamentos!$G$5:$G$2000)</f>
        <v>0</v>
      </c>
      <c r="P12" s="12">
        <f t="shared" si="4"/>
        <v>0</v>
      </c>
      <c r="Q12" s="10">
        <v>0</v>
      </c>
      <c r="R12" s="11">
        <f>SUMPRODUCT((Lançamentos!$C$5:$C$2000=$A12)*(Lançamentos!$E$5:$E$2000="Despesa")*(YEAR(Lançamentos!$A$5:$A$2000)=$B$3)*(MONTH(Lançamentos!$A$5:$A$2000)=6)*Lançamentos!$G$5:$G$2000)</f>
        <v>0</v>
      </c>
      <c r="S12" s="12">
        <f t="shared" si="5"/>
        <v>0</v>
      </c>
      <c r="T12" s="10">
        <v>0</v>
      </c>
      <c r="U12" s="11">
        <f>SUMPRODUCT((Lançamentos!$C$5:$C$2000=$A12)*(Lançamentos!$E$5:$E$2000="Despesa")*(YEAR(Lançamentos!$A$5:$A$2000)=$B$3)*(MONTH(Lançamentos!$A$5:$A$2000)=7)*Lançamentos!$G$5:$G$2000)</f>
        <v>0</v>
      </c>
      <c r="V12" s="12">
        <f t="shared" si="6"/>
        <v>0</v>
      </c>
      <c r="W12" s="10">
        <v>0</v>
      </c>
      <c r="X12" s="11">
        <f>SUMPRODUCT((Lançamentos!$C$5:$C$2000=$A12)*(Lançamentos!$E$5:$E$2000="Despesa")*(YEAR(Lançamentos!$A$5:$A$2000)=$B$3)*(MONTH(Lançamentos!$A$5:$A$2000)=8)*Lançamentos!$G$5:$G$2000)</f>
        <v>0</v>
      </c>
      <c r="Y12" s="12">
        <f t="shared" si="7"/>
        <v>0</v>
      </c>
      <c r="Z12" s="10">
        <v>0</v>
      </c>
      <c r="AA12" s="11">
        <f>SUMPRODUCT((Lançamentos!$C$5:$C$2000=$A12)*(Lançamentos!$E$5:$E$2000="Despesa")*(YEAR(Lançamentos!$A$5:$A$2000)=$B$3)*(MONTH(Lançamentos!$A$5:$A$2000)=9)*Lançamentos!$G$5:$G$2000)</f>
        <v>0</v>
      </c>
      <c r="AB12" s="12">
        <f t="shared" si="8"/>
        <v>0</v>
      </c>
      <c r="AC12" s="10">
        <v>0</v>
      </c>
      <c r="AD12" s="11">
        <f>SUMPRODUCT((Lançamentos!$C$5:$C$2000=$A12)*(Lançamentos!$E$5:$E$2000="Despesa")*(YEAR(Lançamentos!$A$5:$A$2000)=$B$3)*(MONTH(Lançamentos!$A$5:$A$2000)=10)*Lançamentos!$G$5:$G$2000)</f>
        <v>0</v>
      </c>
      <c r="AE12" s="12">
        <f t="shared" si="9"/>
        <v>0</v>
      </c>
      <c r="AF12" s="10">
        <v>0</v>
      </c>
      <c r="AG12" s="11">
        <f>SUMPRODUCT((Lançamentos!$C$5:$C$2000=$A12)*(Lançamentos!$E$5:$E$2000="Despesa")*(YEAR(Lançamentos!$A$5:$A$2000)=$B$3)*(MONTH(Lançamentos!$A$5:$A$2000)=11)*Lançamentos!$G$5:$G$2000)</f>
        <v>0</v>
      </c>
      <c r="AH12" s="12">
        <f t="shared" si="10"/>
        <v>0</v>
      </c>
      <c r="AI12" s="10">
        <v>0</v>
      </c>
      <c r="AJ12" s="11">
        <f>SUMPRODUCT((Lançamentos!$C$5:$C$2000=$A12)*(Lançamentos!$E$5:$E$2000="Despesa")*(YEAR(Lançamentos!$A$5:$A$2000)=$B$3)*(MONTH(Lançamentos!$A$5:$A$2000)=12)*Lançamentos!$G$5:$G$2000)</f>
        <v>0</v>
      </c>
      <c r="AK12" s="12">
        <f t="shared" si="11"/>
        <v>0</v>
      </c>
    </row>
    <row r="13" spans="1:37" x14ac:dyDescent="0.3">
      <c r="A13" s="9" t="s">
        <v>58</v>
      </c>
      <c r="B13" s="10">
        <v>0</v>
      </c>
      <c r="C13" s="11">
        <f>SUMPRODUCT((Lançamentos!$C$5:$C$2000=$A13)*(Lançamentos!$E$5:$E$2000="Despesa")*(YEAR(Lançamentos!$A$5:$A$2000)=$B$3)*(MONTH(Lançamentos!$A$5:$A$2000)=1)*Lançamentos!$G$5:$G$2000)</f>
        <v>0</v>
      </c>
      <c r="D13" s="12">
        <f t="shared" si="0"/>
        <v>0</v>
      </c>
      <c r="E13" s="10">
        <v>0</v>
      </c>
      <c r="F13" s="11">
        <f>SUMPRODUCT((Lançamentos!$C$5:$C$2000=$A13)*(Lançamentos!$E$5:$E$2000="Despesa")*(YEAR(Lançamentos!$A$5:$A$2000)=$B$3)*(MONTH(Lançamentos!$A$5:$A$2000)=2)*Lançamentos!$G$5:$G$2000)</f>
        <v>0</v>
      </c>
      <c r="G13" s="12">
        <f t="shared" si="1"/>
        <v>0</v>
      </c>
      <c r="H13" s="10">
        <v>0</v>
      </c>
      <c r="I13" s="11">
        <f>SUMPRODUCT((Lançamentos!$C$5:$C$2000=$A13)*(Lançamentos!$E$5:$E$2000="Despesa")*(YEAR(Lançamentos!$A$5:$A$2000)=$B$3)*(MONTH(Lançamentos!$A$5:$A$2000)=3)*Lançamentos!$G$5:$G$2000)</f>
        <v>0</v>
      </c>
      <c r="J13" s="12">
        <f t="shared" si="2"/>
        <v>0</v>
      </c>
      <c r="K13" s="10">
        <v>0</v>
      </c>
      <c r="L13" s="11">
        <f>SUMPRODUCT((Lançamentos!$C$5:$C$2000=$A13)*(Lançamentos!$E$5:$E$2000="Despesa")*(YEAR(Lançamentos!$A$5:$A$2000)=$B$3)*(MONTH(Lançamentos!$A$5:$A$2000)=4)*Lançamentos!$G$5:$G$2000)</f>
        <v>0</v>
      </c>
      <c r="M13" s="12">
        <f t="shared" si="3"/>
        <v>0</v>
      </c>
      <c r="N13" s="10">
        <v>0</v>
      </c>
      <c r="O13" s="11">
        <f>SUMPRODUCT((Lançamentos!$C$5:$C$2000=$A13)*(Lançamentos!$E$5:$E$2000="Despesa")*(YEAR(Lançamentos!$A$5:$A$2000)=$B$3)*(MONTH(Lançamentos!$A$5:$A$2000)=5)*Lançamentos!$G$5:$G$2000)</f>
        <v>0</v>
      </c>
      <c r="P13" s="12">
        <f t="shared" si="4"/>
        <v>0</v>
      </c>
      <c r="Q13" s="10">
        <v>0</v>
      </c>
      <c r="R13" s="11">
        <f>SUMPRODUCT((Lançamentos!$C$5:$C$2000=$A13)*(Lançamentos!$E$5:$E$2000="Despesa")*(YEAR(Lançamentos!$A$5:$A$2000)=$B$3)*(MONTH(Lançamentos!$A$5:$A$2000)=6)*Lançamentos!$G$5:$G$2000)</f>
        <v>0</v>
      </c>
      <c r="S13" s="12">
        <f t="shared" si="5"/>
        <v>0</v>
      </c>
      <c r="T13" s="10">
        <v>0</v>
      </c>
      <c r="U13" s="11">
        <f>SUMPRODUCT((Lançamentos!$C$5:$C$2000=$A13)*(Lançamentos!$E$5:$E$2000="Despesa")*(YEAR(Lançamentos!$A$5:$A$2000)=$B$3)*(MONTH(Lançamentos!$A$5:$A$2000)=7)*Lançamentos!$G$5:$G$2000)</f>
        <v>0</v>
      </c>
      <c r="V13" s="12">
        <f t="shared" si="6"/>
        <v>0</v>
      </c>
      <c r="W13" s="10">
        <v>0</v>
      </c>
      <c r="X13" s="11">
        <f>SUMPRODUCT((Lançamentos!$C$5:$C$2000=$A13)*(Lançamentos!$E$5:$E$2000="Despesa")*(YEAR(Lançamentos!$A$5:$A$2000)=$B$3)*(MONTH(Lançamentos!$A$5:$A$2000)=8)*Lançamentos!$G$5:$G$2000)</f>
        <v>0</v>
      </c>
      <c r="Y13" s="12">
        <f t="shared" si="7"/>
        <v>0</v>
      </c>
      <c r="Z13" s="10">
        <v>0</v>
      </c>
      <c r="AA13" s="11">
        <f>SUMPRODUCT((Lançamentos!$C$5:$C$2000=$A13)*(Lançamentos!$E$5:$E$2000="Despesa")*(YEAR(Lançamentos!$A$5:$A$2000)=$B$3)*(MONTH(Lançamentos!$A$5:$A$2000)=9)*Lançamentos!$G$5:$G$2000)</f>
        <v>0</v>
      </c>
      <c r="AB13" s="12">
        <f t="shared" si="8"/>
        <v>0</v>
      </c>
      <c r="AC13" s="10">
        <v>0</v>
      </c>
      <c r="AD13" s="11">
        <f>SUMPRODUCT((Lançamentos!$C$5:$C$2000=$A13)*(Lançamentos!$E$5:$E$2000="Despesa")*(YEAR(Lançamentos!$A$5:$A$2000)=$B$3)*(MONTH(Lançamentos!$A$5:$A$2000)=10)*Lançamentos!$G$5:$G$2000)</f>
        <v>0</v>
      </c>
      <c r="AE13" s="12">
        <f t="shared" si="9"/>
        <v>0</v>
      </c>
      <c r="AF13" s="10">
        <v>0</v>
      </c>
      <c r="AG13" s="11">
        <f>SUMPRODUCT((Lançamentos!$C$5:$C$2000=$A13)*(Lançamentos!$E$5:$E$2000="Despesa")*(YEAR(Lançamentos!$A$5:$A$2000)=$B$3)*(MONTH(Lançamentos!$A$5:$A$2000)=11)*Lançamentos!$G$5:$G$2000)</f>
        <v>0</v>
      </c>
      <c r="AH13" s="12">
        <f t="shared" si="10"/>
        <v>0</v>
      </c>
      <c r="AI13" s="10">
        <v>0</v>
      </c>
      <c r="AJ13" s="11">
        <f>SUMPRODUCT((Lançamentos!$C$5:$C$2000=$A13)*(Lançamentos!$E$5:$E$2000="Despesa")*(YEAR(Lançamentos!$A$5:$A$2000)=$B$3)*(MONTH(Lançamentos!$A$5:$A$2000)=12)*Lançamentos!$G$5:$G$2000)</f>
        <v>0</v>
      </c>
      <c r="AK13" s="12">
        <f t="shared" si="11"/>
        <v>0</v>
      </c>
    </row>
    <row r="14" spans="1:37" x14ac:dyDescent="0.3">
      <c r="A14" s="9" t="s">
        <v>41</v>
      </c>
      <c r="B14" s="10">
        <v>0</v>
      </c>
      <c r="C14" s="11">
        <f>SUMPRODUCT((Lançamentos!$C$5:$C$2000=$A14)*(Lançamentos!$E$5:$E$2000="Despesa")*(YEAR(Lançamentos!$A$5:$A$2000)=$B$3)*(MONTH(Lançamentos!$A$5:$A$2000)=1)*Lançamentos!$G$5:$G$2000)</f>
        <v>0</v>
      </c>
      <c r="D14" s="12">
        <f t="shared" si="0"/>
        <v>0</v>
      </c>
      <c r="E14" s="10">
        <v>0</v>
      </c>
      <c r="F14" s="11">
        <f>SUMPRODUCT((Lançamentos!$C$5:$C$2000=$A14)*(Lançamentos!$E$5:$E$2000="Despesa")*(YEAR(Lançamentos!$A$5:$A$2000)=$B$3)*(MONTH(Lançamentos!$A$5:$A$2000)=2)*Lançamentos!$G$5:$G$2000)</f>
        <v>0</v>
      </c>
      <c r="G14" s="12">
        <f t="shared" si="1"/>
        <v>0</v>
      </c>
      <c r="H14" s="10">
        <v>0</v>
      </c>
      <c r="I14" s="11">
        <f>SUMPRODUCT((Lançamentos!$C$5:$C$2000=$A14)*(Lançamentos!$E$5:$E$2000="Despesa")*(YEAR(Lançamentos!$A$5:$A$2000)=$B$3)*(MONTH(Lançamentos!$A$5:$A$2000)=3)*Lançamentos!$G$5:$G$2000)</f>
        <v>0</v>
      </c>
      <c r="J14" s="12">
        <f t="shared" si="2"/>
        <v>0</v>
      </c>
      <c r="K14" s="10">
        <v>0</v>
      </c>
      <c r="L14" s="11">
        <f>SUMPRODUCT((Lançamentos!$C$5:$C$2000=$A14)*(Lançamentos!$E$5:$E$2000="Despesa")*(YEAR(Lançamentos!$A$5:$A$2000)=$B$3)*(MONTH(Lançamentos!$A$5:$A$2000)=4)*Lançamentos!$G$5:$G$2000)</f>
        <v>0</v>
      </c>
      <c r="M14" s="12">
        <f t="shared" si="3"/>
        <v>0</v>
      </c>
      <c r="N14" s="10">
        <v>0</v>
      </c>
      <c r="O14" s="11">
        <f>SUMPRODUCT((Lançamentos!$C$5:$C$2000=$A14)*(Lançamentos!$E$5:$E$2000="Despesa")*(YEAR(Lançamentos!$A$5:$A$2000)=$B$3)*(MONTH(Lançamentos!$A$5:$A$2000)=5)*Lançamentos!$G$5:$G$2000)</f>
        <v>0</v>
      </c>
      <c r="P14" s="12">
        <f t="shared" si="4"/>
        <v>0</v>
      </c>
      <c r="Q14" s="10">
        <v>0</v>
      </c>
      <c r="R14" s="11">
        <f>SUMPRODUCT((Lançamentos!$C$5:$C$2000=$A14)*(Lançamentos!$E$5:$E$2000="Despesa")*(YEAR(Lançamentos!$A$5:$A$2000)=$B$3)*(MONTH(Lançamentos!$A$5:$A$2000)=6)*Lançamentos!$G$5:$G$2000)</f>
        <v>0</v>
      </c>
      <c r="S14" s="12">
        <f t="shared" si="5"/>
        <v>0</v>
      </c>
      <c r="T14" s="10">
        <v>0</v>
      </c>
      <c r="U14" s="11">
        <f>SUMPRODUCT((Lançamentos!$C$5:$C$2000=$A14)*(Lançamentos!$E$5:$E$2000="Despesa")*(YEAR(Lançamentos!$A$5:$A$2000)=$B$3)*(MONTH(Lançamentos!$A$5:$A$2000)=7)*Lançamentos!$G$5:$G$2000)</f>
        <v>0</v>
      </c>
      <c r="V14" s="12">
        <f t="shared" si="6"/>
        <v>0</v>
      </c>
      <c r="W14" s="10">
        <v>0</v>
      </c>
      <c r="X14" s="11">
        <f>SUMPRODUCT((Lançamentos!$C$5:$C$2000=$A14)*(Lançamentos!$E$5:$E$2000="Despesa")*(YEAR(Lançamentos!$A$5:$A$2000)=$B$3)*(MONTH(Lançamentos!$A$5:$A$2000)=8)*Lançamentos!$G$5:$G$2000)</f>
        <v>0</v>
      </c>
      <c r="Y14" s="12">
        <f t="shared" si="7"/>
        <v>0</v>
      </c>
      <c r="Z14" s="10">
        <v>0</v>
      </c>
      <c r="AA14" s="11">
        <f>SUMPRODUCT((Lançamentos!$C$5:$C$2000=$A14)*(Lançamentos!$E$5:$E$2000="Despesa")*(YEAR(Lançamentos!$A$5:$A$2000)=$B$3)*(MONTH(Lançamentos!$A$5:$A$2000)=9)*Lançamentos!$G$5:$G$2000)</f>
        <v>0</v>
      </c>
      <c r="AB14" s="12">
        <f t="shared" si="8"/>
        <v>0</v>
      </c>
      <c r="AC14" s="10">
        <v>0</v>
      </c>
      <c r="AD14" s="11">
        <f>SUMPRODUCT((Lançamentos!$C$5:$C$2000=$A14)*(Lançamentos!$E$5:$E$2000="Despesa")*(YEAR(Lançamentos!$A$5:$A$2000)=$B$3)*(MONTH(Lançamentos!$A$5:$A$2000)=10)*Lançamentos!$G$5:$G$2000)</f>
        <v>0</v>
      </c>
      <c r="AE14" s="12">
        <f t="shared" si="9"/>
        <v>0</v>
      </c>
      <c r="AF14" s="10">
        <v>0</v>
      </c>
      <c r="AG14" s="11">
        <f>SUMPRODUCT((Lançamentos!$C$5:$C$2000=$A14)*(Lançamentos!$E$5:$E$2000="Despesa")*(YEAR(Lançamentos!$A$5:$A$2000)=$B$3)*(MONTH(Lançamentos!$A$5:$A$2000)=11)*Lançamentos!$G$5:$G$2000)</f>
        <v>0</v>
      </c>
      <c r="AH14" s="12">
        <f t="shared" si="10"/>
        <v>0</v>
      </c>
      <c r="AI14" s="10">
        <v>0</v>
      </c>
      <c r="AJ14" s="11">
        <f>SUMPRODUCT((Lançamentos!$C$5:$C$2000=$A14)*(Lançamentos!$E$5:$E$2000="Despesa")*(YEAR(Lançamentos!$A$5:$A$2000)=$B$3)*(MONTH(Lançamentos!$A$5:$A$2000)=12)*Lançamentos!$G$5:$G$2000)</f>
        <v>0</v>
      </c>
      <c r="AK14" s="12">
        <f t="shared" si="11"/>
        <v>0</v>
      </c>
    </row>
    <row r="15" spans="1:37" x14ac:dyDescent="0.3">
      <c r="A15" s="9" t="s">
        <v>37</v>
      </c>
      <c r="B15" s="10">
        <v>0</v>
      </c>
      <c r="C15" s="11">
        <f>SUMPRODUCT((Lançamentos!$C$5:$C$2000=$A15)*(Lançamentos!$E$5:$E$2000="Despesa")*(YEAR(Lançamentos!$A$5:$A$2000)=$B$3)*(MONTH(Lançamentos!$A$5:$A$2000)=1)*Lançamentos!$G$5:$G$2000)</f>
        <v>0</v>
      </c>
      <c r="D15" s="12">
        <f t="shared" si="0"/>
        <v>0</v>
      </c>
      <c r="E15" s="10">
        <v>0</v>
      </c>
      <c r="F15" s="11">
        <f>SUMPRODUCT((Lançamentos!$C$5:$C$2000=$A15)*(Lançamentos!$E$5:$E$2000="Despesa")*(YEAR(Lançamentos!$A$5:$A$2000)=$B$3)*(MONTH(Lançamentos!$A$5:$A$2000)=2)*Lançamentos!$G$5:$G$2000)</f>
        <v>0</v>
      </c>
      <c r="G15" s="12">
        <f t="shared" si="1"/>
        <v>0</v>
      </c>
      <c r="H15" s="10">
        <v>0</v>
      </c>
      <c r="I15" s="11">
        <f>SUMPRODUCT((Lançamentos!$C$5:$C$2000=$A15)*(Lançamentos!$E$5:$E$2000="Despesa")*(YEAR(Lançamentos!$A$5:$A$2000)=$B$3)*(MONTH(Lançamentos!$A$5:$A$2000)=3)*Lançamentos!$G$5:$G$2000)</f>
        <v>0</v>
      </c>
      <c r="J15" s="12">
        <f t="shared" si="2"/>
        <v>0</v>
      </c>
      <c r="K15" s="10">
        <v>0</v>
      </c>
      <c r="L15" s="11">
        <f>SUMPRODUCT((Lançamentos!$C$5:$C$2000=$A15)*(Lançamentos!$E$5:$E$2000="Despesa")*(YEAR(Lançamentos!$A$5:$A$2000)=$B$3)*(MONTH(Lançamentos!$A$5:$A$2000)=4)*Lançamentos!$G$5:$G$2000)</f>
        <v>0</v>
      </c>
      <c r="M15" s="12">
        <f t="shared" si="3"/>
        <v>0</v>
      </c>
      <c r="N15" s="10">
        <v>0</v>
      </c>
      <c r="O15" s="11">
        <f>SUMPRODUCT((Lançamentos!$C$5:$C$2000=$A15)*(Lançamentos!$E$5:$E$2000="Despesa")*(YEAR(Lançamentos!$A$5:$A$2000)=$B$3)*(MONTH(Lançamentos!$A$5:$A$2000)=5)*Lançamentos!$G$5:$G$2000)</f>
        <v>0</v>
      </c>
      <c r="P15" s="12">
        <f t="shared" si="4"/>
        <v>0</v>
      </c>
      <c r="Q15" s="10">
        <v>0</v>
      </c>
      <c r="R15" s="11">
        <f>SUMPRODUCT((Lançamentos!$C$5:$C$2000=$A15)*(Lançamentos!$E$5:$E$2000="Despesa")*(YEAR(Lançamentos!$A$5:$A$2000)=$B$3)*(MONTH(Lançamentos!$A$5:$A$2000)=6)*Lançamentos!$G$5:$G$2000)</f>
        <v>0</v>
      </c>
      <c r="S15" s="12">
        <f t="shared" si="5"/>
        <v>0</v>
      </c>
      <c r="T15" s="10">
        <v>0</v>
      </c>
      <c r="U15" s="11">
        <f>SUMPRODUCT((Lançamentos!$C$5:$C$2000=$A15)*(Lançamentos!$E$5:$E$2000="Despesa")*(YEAR(Lançamentos!$A$5:$A$2000)=$B$3)*(MONTH(Lançamentos!$A$5:$A$2000)=7)*Lançamentos!$G$5:$G$2000)</f>
        <v>0</v>
      </c>
      <c r="V15" s="12">
        <f t="shared" si="6"/>
        <v>0</v>
      </c>
      <c r="W15" s="10">
        <v>0</v>
      </c>
      <c r="X15" s="11">
        <f>SUMPRODUCT((Lançamentos!$C$5:$C$2000=$A15)*(Lançamentos!$E$5:$E$2000="Despesa")*(YEAR(Lançamentos!$A$5:$A$2000)=$B$3)*(MONTH(Lançamentos!$A$5:$A$2000)=8)*Lançamentos!$G$5:$G$2000)</f>
        <v>0</v>
      </c>
      <c r="Y15" s="12">
        <f t="shared" si="7"/>
        <v>0</v>
      </c>
      <c r="Z15" s="10">
        <v>0</v>
      </c>
      <c r="AA15" s="11">
        <f>SUMPRODUCT((Lançamentos!$C$5:$C$2000=$A15)*(Lançamentos!$E$5:$E$2000="Despesa")*(YEAR(Lançamentos!$A$5:$A$2000)=$B$3)*(MONTH(Lançamentos!$A$5:$A$2000)=9)*Lançamentos!$G$5:$G$2000)</f>
        <v>0</v>
      </c>
      <c r="AB15" s="12">
        <f t="shared" si="8"/>
        <v>0</v>
      </c>
      <c r="AC15" s="10">
        <v>0</v>
      </c>
      <c r="AD15" s="11">
        <f>SUMPRODUCT((Lançamentos!$C$5:$C$2000=$A15)*(Lançamentos!$E$5:$E$2000="Despesa")*(YEAR(Lançamentos!$A$5:$A$2000)=$B$3)*(MONTH(Lançamentos!$A$5:$A$2000)=10)*Lançamentos!$G$5:$G$2000)</f>
        <v>0</v>
      </c>
      <c r="AE15" s="12">
        <f t="shared" si="9"/>
        <v>0</v>
      </c>
      <c r="AF15" s="10">
        <v>0</v>
      </c>
      <c r="AG15" s="11">
        <f>SUMPRODUCT((Lançamentos!$C$5:$C$2000=$A15)*(Lançamentos!$E$5:$E$2000="Despesa")*(YEAR(Lançamentos!$A$5:$A$2000)=$B$3)*(MONTH(Lançamentos!$A$5:$A$2000)=11)*Lançamentos!$G$5:$G$2000)</f>
        <v>0</v>
      </c>
      <c r="AH15" s="12">
        <f t="shared" si="10"/>
        <v>0</v>
      </c>
      <c r="AI15" s="10">
        <v>0</v>
      </c>
      <c r="AJ15" s="11">
        <f>SUMPRODUCT((Lançamentos!$C$5:$C$2000=$A15)*(Lançamentos!$E$5:$E$2000="Despesa")*(YEAR(Lançamentos!$A$5:$A$2000)=$B$3)*(MONTH(Lançamentos!$A$5:$A$2000)=12)*Lançamentos!$G$5:$G$2000)</f>
        <v>0</v>
      </c>
      <c r="AK15" s="12">
        <f t="shared" si="11"/>
        <v>0</v>
      </c>
    </row>
    <row r="16" spans="1:37" x14ac:dyDescent="0.3">
      <c r="A16" s="9" t="s">
        <v>52</v>
      </c>
      <c r="B16" s="10">
        <v>0</v>
      </c>
      <c r="C16" s="11">
        <f>SUMPRODUCT((Lançamentos!$C$5:$C$2000=$A16)*(Lançamentos!$E$5:$E$2000="Despesa")*(YEAR(Lançamentos!$A$5:$A$2000)=$B$3)*(MONTH(Lançamentos!$A$5:$A$2000)=1)*Lançamentos!$G$5:$G$2000)</f>
        <v>0</v>
      </c>
      <c r="D16" s="12">
        <f t="shared" si="0"/>
        <v>0</v>
      </c>
      <c r="E16" s="10">
        <v>0</v>
      </c>
      <c r="F16" s="11">
        <f>SUMPRODUCT((Lançamentos!$C$5:$C$2000=$A16)*(Lançamentos!$E$5:$E$2000="Despesa")*(YEAR(Lançamentos!$A$5:$A$2000)=$B$3)*(MONTH(Lançamentos!$A$5:$A$2000)=2)*Lançamentos!$G$5:$G$2000)</f>
        <v>0</v>
      </c>
      <c r="G16" s="12">
        <f t="shared" si="1"/>
        <v>0</v>
      </c>
      <c r="H16" s="10">
        <v>0</v>
      </c>
      <c r="I16" s="11">
        <f>SUMPRODUCT((Lançamentos!$C$5:$C$2000=$A16)*(Lançamentos!$E$5:$E$2000="Despesa")*(YEAR(Lançamentos!$A$5:$A$2000)=$B$3)*(MONTH(Lançamentos!$A$5:$A$2000)=3)*Lançamentos!$G$5:$G$2000)</f>
        <v>0</v>
      </c>
      <c r="J16" s="12">
        <f t="shared" si="2"/>
        <v>0</v>
      </c>
      <c r="K16" s="10">
        <v>0</v>
      </c>
      <c r="L16" s="11">
        <f>SUMPRODUCT((Lançamentos!$C$5:$C$2000=$A16)*(Lançamentos!$E$5:$E$2000="Despesa")*(YEAR(Lançamentos!$A$5:$A$2000)=$B$3)*(MONTH(Lançamentos!$A$5:$A$2000)=4)*Lançamentos!$G$5:$G$2000)</f>
        <v>0</v>
      </c>
      <c r="M16" s="12">
        <f t="shared" si="3"/>
        <v>0</v>
      </c>
      <c r="N16" s="10">
        <v>0</v>
      </c>
      <c r="O16" s="11">
        <f>SUMPRODUCT((Lançamentos!$C$5:$C$2000=$A16)*(Lançamentos!$E$5:$E$2000="Despesa")*(YEAR(Lançamentos!$A$5:$A$2000)=$B$3)*(MONTH(Lançamentos!$A$5:$A$2000)=5)*Lançamentos!$G$5:$G$2000)</f>
        <v>0</v>
      </c>
      <c r="P16" s="12">
        <f t="shared" si="4"/>
        <v>0</v>
      </c>
      <c r="Q16" s="10">
        <v>0</v>
      </c>
      <c r="R16" s="11">
        <f>SUMPRODUCT((Lançamentos!$C$5:$C$2000=$A16)*(Lançamentos!$E$5:$E$2000="Despesa")*(YEAR(Lançamentos!$A$5:$A$2000)=$B$3)*(MONTH(Lançamentos!$A$5:$A$2000)=6)*Lançamentos!$G$5:$G$2000)</f>
        <v>0</v>
      </c>
      <c r="S16" s="12">
        <f t="shared" si="5"/>
        <v>0</v>
      </c>
      <c r="T16" s="10">
        <v>0</v>
      </c>
      <c r="U16" s="11">
        <f>SUMPRODUCT((Lançamentos!$C$5:$C$2000=$A16)*(Lançamentos!$E$5:$E$2000="Despesa")*(YEAR(Lançamentos!$A$5:$A$2000)=$B$3)*(MONTH(Lançamentos!$A$5:$A$2000)=7)*Lançamentos!$G$5:$G$2000)</f>
        <v>0</v>
      </c>
      <c r="V16" s="12">
        <f t="shared" si="6"/>
        <v>0</v>
      </c>
      <c r="W16" s="10">
        <v>0</v>
      </c>
      <c r="X16" s="11">
        <f>SUMPRODUCT((Lançamentos!$C$5:$C$2000=$A16)*(Lançamentos!$E$5:$E$2000="Despesa")*(YEAR(Lançamentos!$A$5:$A$2000)=$B$3)*(MONTH(Lançamentos!$A$5:$A$2000)=8)*Lançamentos!$G$5:$G$2000)</f>
        <v>0</v>
      </c>
      <c r="Y16" s="12">
        <f t="shared" si="7"/>
        <v>0</v>
      </c>
      <c r="Z16" s="10">
        <v>0</v>
      </c>
      <c r="AA16" s="11">
        <f>SUMPRODUCT((Lançamentos!$C$5:$C$2000=$A16)*(Lançamentos!$E$5:$E$2000="Despesa")*(YEAR(Lançamentos!$A$5:$A$2000)=$B$3)*(MONTH(Lançamentos!$A$5:$A$2000)=9)*Lançamentos!$G$5:$G$2000)</f>
        <v>0</v>
      </c>
      <c r="AB16" s="12">
        <f t="shared" si="8"/>
        <v>0</v>
      </c>
      <c r="AC16" s="10">
        <v>0</v>
      </c>
      <c r="AD16" s="11">
        <f>SUMPRODUCT((Lançamentos!$C$5:$C$2000=$A16)*(Lançamentos!$E$5:$E$2000="Despesa")*(YEAR(Lançamentos!$A$5:$A$2000)=$B$3)*(MONTH(Lançamentos!$A$5:$A$2000)=10)*Lançamentos!$G$5:$G$2000)</f>
        <v>0</v>
      </c>
      <c r="AE16" s="12">
        <f t="shared" si="9"/>
        <v>0</v>
      </c>
      <c r="AF16" s="10">
        <v>0</v>
      </c>
      <c r="AG16" s="11">
        <f>SUMPRODUCT((Lançamentos!$C$5:$C$2000=$A16)*(Lançamentos!$E$5:$E$2000="Despesa")*(YEAR(Lançamentos!$A$5:$A$2000)=$B$3)*(MONTH(Lançamentos!$A$5:$A$2000)=11)*Lançamentos!$G$5:$G$2000)</f>
        <v>0</v>
      </c>
      <c r="AH16" s="12">
        <f t="shared" si="10"/>
        <v>0</v>
      </c>
      <c r="AI16" s="10">
        <v>0</v>
      </c>
      <c r="AJ16" s="11">
        <f>SUMPRODUCT((Lançamentos!$C$5:$C$2000=$A16)*(Lançamentos!$E$5:$E$2000="Despesa")*(YEAR(Lançamentos!$A$5:$A$2000)=$B$3)*(MONTH(Lançamentos!$A$5:$A$2000)=12)*Lançamentos!$G$5:$G$2000)</f>
        <v>0</v>
      </c>
      <c r="AK16" s="12">
        <f t="shared" si="11"/>
        <v>0</v>
      </c>
    </row>
    <row r="17" spans="1:37" x14ac:dyDescent="0.3">
      <c r="A17" s="7" t="s">
        <v>116</v>
      </c>
      <c r="B17" s="13">
        <f>SUM(B6:B16)</f>
        <v>0</v>
      </c>
      <c r="C17" s="13">
        <f>SUM(C6:C16)</f>
        <v>0</v>
      </c>
      <c r="D17" s="14">
        <f t="shared" si="0"/>
        <v>0</v>
      </c>
      <c r="E17" s="13">
        <f>SUM(E6:E16)</f>
        <v>0</v>
      </c>
      <c r="F17" s="13">
        <f>SUM(F6:F16)</f>
        <v>0</v>
      </c>
      <c r="G17" s="14">
        <f t="shared" si="1"/>
        <v>0</v>
      </c>
      <c r="H17" s="13">
        <f>SUM(H6:H16)</f>
        <v>0</v>
      </c>
      <c r="I17" s="13">
        <f>SUM(I6:I16)</f>
        <v>0</v>
      </c>
      <c r="J17" s="14">
        <f t="shared" si="2"/>
        <v>0</v>
      </c>
      <c r="K17" s="13">
        <f>SUM(K6:K16)</f>
        <v>0</v>
      </c>
      <c r="L17" s="13">
        <f>SUM(L6:L16)</f>
        <v>0</v>
      </c>
      <c r="M17" s="14">
        <f t="shared" si="3"/>
        <v>0</v>
      </c>
      <c r="N17" s="13">
        <f>SUM(N6:N16)</f>
        <v>0</v>
      </c>
      <c r="O17" s="13">
        <f>SUM(O6:O16)</f>
        <v>0</v>
      </c>
      <c r="P17" s="14">
        <f t="shared" si="4"/>
        <v>0</v>
      </c>
      <c r="Q17" s="13">
        <f>SUM(Q6:Q16)</f>
        <v>0</v>
      </c>
      <c r="R17" s="13">
        <f>SUM(R6:R16)</f>
        <v>0</v>
      </c>
      <c r="S17" s="14">
        <f t="shared" si="5"/>
        <v>0</v>
      </c>
      <c r="T17" s="13">
        <f>SUM(T6:T16)</f>
        <v>0</v>
      </c>
      <c r="U17" s="13">
        <f>SUM(U6:U16)</f>
        <v>0</v>
      </c>
      <c r="V17" s="14">
        <f t="shared" si="6"/>
        <v>0</v>
      </c>
      <c r="W17" s="13">
        <f>SUM(W6:W16)</f>
        <v>0</v>
      </c>
      <c r="X17" s="13">
        <f>SUM(X6:X16)</f>
        <v>450.3</v>
      </c>
      <c r="Y17" s="14">
        <f t="shared" si="7"/>
        <v>-450.3</v>
      </c>
      <c r="Z17" s="13">
        <f>SUM(Z6:Z16)</f>
        <v>0</v>
      </c>
      <c r="AA17" s="13">
        <f>SUM(AA6:AA16)</f>
        <v>0</v>
      </c>
      <c r="AB17" s="14">
        <f t="shared" si="8"/>
        <v>0</v>
      </c>
      <c r="AC17" s="13">
        <f>SUM(AC6:AC16)</f>
        <v>0</v>
      </c>
      <c r="AD17" s="13">
        <f>SUM(AD6:AD16)</f>
        <v>0</v>
      </c>
      <c r="AE17" s="14">
        <f t="shared" si="9"/>
        <v>0</v>
      </c>
      <c r="AF17" s="13">
        <f>SUM(AF6:AF16)</f>
        <v>0</v>
      </c>
      <c r="AG17" s="13">
        <f>SUM(AG6:AG16)</f>
        <v>0</v>
      </c>
      <c r="AH17" s="14">
        <f t="shared" si="10"/>
        <v>0</v>
      </c>
      <c r="AI17" s="13">
        <f>SUM(AI6:AI16)</f>
        <v>0</v>
      </c>
      <c r="AJ17" s="13">
        <f>SUM(AJ6:AJ16)</f>
        <v>0</v>
      </c>
      <c r="AK17" s="14">
        <f t="shared" si="1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>
      <pane ySplit="5" topLeftCell="A6" activePane="bottomLeft" state="frozen"/>
      <selection pane="bottomLeft"/>
    </sheetView>
  </sheetViews>
  <sheetFormatPr defaultRowHeight="14.4" x14ac:dyDescent="0.3"/>
  <cols>
    <col min="1" max="1" width="38" customWidth="1"/>
    <col min="2" max="2" width="18" customWidth="1"/>
  </cols>
  <sheetData>
    <row r="1" spans="1:2" ht="17.399999999999999" x14ac:dyDescent="0.3">
      <c r="A1" s="1" t="s">
        <v>117</v>
      </c>
    </row>
    <row r="2" spans="1:2" x14ac:dyDescent="0.3">
      <c r="A2" s="2" t="s">
        <v>118</v>
      </c>
    </row>
    <row r="4" spans="1:2" x14ac:dyDescent="0.3">
      <c r="A4" s="7" t="s">
        <v>119</v>
      </c>
      <c r="B4" s="8">
        <v>8</v>
      </c>
    </row>
    <row r="5" spans="1:2" x14ac:dyDescent="0.3">
      <c r="A5" s="7" t="s">
        <v>79</v>
      </c>
      <c r="B5" s="8">
        <v>2026</v>
      </c>
    </row>
    <row r="7" spans="1:2" x14ac:dyDescent="0.3">
      <c r="A7" s="7" t="s">
        <v>120</v>
      </c>
      <c r="B7" s="15">
        <f>SUMPRODUCT((Lançamentos!$E$5:$E$2000="Receita")*(YEAR(Lançamentos!$A$5:$A$2000)=$B$5)*(MONTH(Lançamentos!$A$5:$A$2000)=$B$4)*Lançamentos!$G$5:$G$2000)</f>
        <v>5000</v>
      </c>
    </row>
    <row r="8" spans="1:2" x14ac:dyDescent="0.3">
      <c r="A8" s="7" t="s">
        <v>121</v>
      </c>
      <c r="B8" s="15">
        <f>SUMPRODUCT((Lançamentos!$E$5:$E$2000="Despesa")*(YEAR(Lançamentos!$A$5:$A$2000)=$B$5)*(MONTH(Lançamentos!$A$5:$A$2000)=$B$4)*Lançamentos!$G$5:$G$2000)</f>
        <v>450.3</v>
      </c>
    </row>
    <row r="9" spans="1:2" x14ac:dyDescent="0.3">
      <c r="A9" s="7" t="s">
        <v>122</v>
      </c>
      <c r="B9" s="15">
        <f>B7-B8</f>
        <v>4549.7</v>
      </c>
    </row>
    <row r="10" spans="1:2" x14ac:dyDescent="0.3">
      <c r="A10" s="7" t="s">
        <v>123</v>
      </c>
      <c r="B10" s="15">
        <f>SUMIF(Lançamentos!$E$5:$E$2000,"Receita",Lançamentos!$G$5:$G$2000)</f>
        <v>5000</v>
      </c>
    </row>
    <row r="11" spans="1:2" x14ac:dyDescent="0.3">
      <c r="A11" s="7" t="s">
        <v>124</v>
      </c>
      <c r="B11" s="15">
        <f>SUMIF(Lançamentos!$E$5:$E$2000,"Despesa",Lançamentos!$G$5:$G$2000)</f>
        <v>450.3</v>
      </c>
    </row>
    <row r="12" spans="1:2" x14ac:dyDescent="0.3">
      <c r="A12" s="7" t="s">
        <v>125</v>
      </c>
      <c r="B12" s="15">
        <f>B10-B11</f>
        <v>4549.7</v>
      </c>
    </row>
    <row r="14" spans="1:2" x14ac:dyDescent="0.3">
      <c r="A14" s="7" t="s">
        <v>126</v>
      </c>
    </row>
    <row r="15" spans="1:2" x14ac:dyDescent="0.3">
      <c r="A15" s="3" t="s">
        <v>20</v>
      </c>
      <c r="B15" s="3" t="s">
        <v>127</v>
      </c>
    </row>
    <row r="16" spans="1:2" x14ac:dyDescent="0.3">
      <c r="A16" s="5" t="s">
        <v>34</v>
      </c>
      <c r="B16" s="11">
        <f>SUMPRODUCT((Lançamentos!$C$5:$C$2000="Alimentação")*(YEAR(Lançamentos!$A$5:$A$2000)=$B$5)*(MONTH(Lançamentos!$A$5:$A$2000)=$B$4)*Lançamentos!$G$5:$G$2000)</f>
        <v>450.3</v>
      </c>
    </row>
    <row r="17" spans="1:2" x14ac:dyDescent="0.3">
      <c r="A17" s="5" t="s">
        <v>10</v>
      </c>
      <c r="B17" s="11">
        <f>SUMPRODUCT((Lançamentos!$C$5:$C$2000="Cartão de Crédito")*(YEAR(Lançamentos!$A$5:$A$2000)=$B$5)*(MONTH(Lançamentos!$A$5:$A$2000)=$B$4)*Lançamentos!$G$5:$G$2000)</f>
        <v>0</v>
      </c>
    </row>
    <row r="18" spans="1:2" x14ac:dyDescent="0.3">
      <c r="A18" s="5" t="s">
        <v>56</v>
      </c>
      <c r="B18" s="11">
        <f>SUMPRODUCT((Lançamentos!$C$5:$C$2000="Dívidas")*(YEAR(Lançamentos!$A$5:$A$2000)=$B$5)*(MONTH(Lançamentos!$A$5:$A$2000)=$B$4)*Lançamentos!$G$5:$G$2000)</f>
        <v>0</v>
      </c>
    </row>
    <row r="19" spans="1:2" x14ac:dyDescent="0.3">
      <c r="A19" s="5" t="s">
        <v>45</v>
      </c>
      <c r="B19" s="11">
        <f>SUMPRODUCT((Lançamentos!$C$5:$C$2000="Educação")*(YEAR(Lançamentos!$A$5:$A$2000)=$B$5)*(MONTH(Lançamentos!$A$5:$A$2000)=$B$4)*Lançamentos!$G$5:$G$2000)</f>
        <v>0</v>
      </c>
    </row>
    <row r="20" spans="1:2" x14ac:dyDescent="0.3">
      <c r="A20" s="5" t="s">
        <v>15</v>
      </c>
      <c r="B20" s="11">
        <f>SUMPRODUCT((Lançamentos!$C$5:$C$2000="Investimentos")*(YEAR(Lançamentos!$A$5:$A$2000)=$B$5)*(MONTH(Lançamentos!$A$5:$A$2000)=$B$4)*Lançamentos!$G$5:$G$2000)</f>
        <v>0</v>
      </c>
    </row>
    <row r="21" spans="1:2" x14ac:dyDescent="0.3">
      <c r="A21" s="5" t="s">
        <v>48</v>
      </c>
      <c r="B21" s="11">
        <f>SUMPRODUCT((Lançamentos!$C$5:$C$2000="Lazer")*(YEAR(Lançamentos!$A$5:$A$2000)=$B$5)*(MONTH(Lançamentos!$A$5:$A$2000)=$B$4)*Lançamentos!$G$5:$G$2000)</f>
        <v>0</v>
      </c>
    </row>
    <row r="22" spans="1:2" x14ac:dyDescent="0.3">
      <c r="A22" s="5" t="s">
        <v>27</v>
      </c>
      <c r="B22" s="11">
        <f>SUMPRODUCT((Lançamentos!$C$5:$C$2000="Moradia")*(YEAR(Lançamentos!$A$5:$A$2000)=$B$5)*(MONTH(Lançamentos!$A$5:$A$2000)=$B$4)*Lançamentos!$G$5:$G$2000)</f>
        <v>0</v>
      </c>
    </row>
    <row r="23" spans="1:2" x14ac:dyDescent="0.3">
      <c r="A23" s="5" t="s">
        <v>58</v>
      </c>
      <c r="B23" s="11">
        <f>SUMPRODUCT((Lançamentos!$C$5:$C$2000="Outros")*(YEAR(Lançamentos!$A$5:$A$2000)=$B$5)*(MONTH(Lançamentos!$A$5:$A$2000)=$B$4)*Lançamentos!$G$5:$G$2000)</f>
        <v>0</v>
      </c>
    </row>
    <row r="24" spans="1:2" x14ac:dyDescent="0.3">
      <c r="A24" s="5" t="s">
        <v>41</v>
      </c>
      <c r="B24" s="11">
        <f>SUMPRODUCT((Lançamentos!$C$5:$C$2000="Saúde")*(YEAR(Lançamentos!$A$5:$A$2000)=$B$5)*(MONTH(Lançamentos!$A$5:$A$2000)=$B$4)*Lançamentos!$G$5:$G$2000)</f>
        <v>0</v>
      </c>
    </row>
    <row r="25" spans="1:2" x14ac:dyDescent="0.3">
      <c r="A25" s="5" t="s">
        <v>37</v>
      </c>
      <c r="B25" s="11">
        <f>SUMPRODUCT((Lançamentos!$C$5:$C$2000="Transporte")*(YEAR(Lançamentos!$A$5:$A$2000)=$B$5)*(MONTH(Lançamentos!$A$5:$A$2000)=$B$4)*Lançamentos!$G$5:$G$2000)</f>
        <v>0</v>
      </c>
    </row>
    <row r="26" spans="1:2" x14ac:dyDescent="0.3">
      <c r="A26" s="5" t="s">
        <v>52</v>
      </c>
      <c r="B26" s="11">
        <f>SUMPRODUCT((Lançamentos!$C$5:$C$2000="Vestuário")*(YEAR(Lançamentos!$A$5:$A$2000)=$B$5)*(MONTH(Lançamentos!$A$5:$A$2000)=$B$4)*Lançamentos!$G$5:$G$2000)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Contas</vt:lpstr>
      <vt:lpstr>Categorias</vt:lpstr>
      <vt:lpstr>Lançamentos</vt:lpstr>
      <vt:lpstr>Orçamento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igoorsa93</dc:creator>
  <cp:lastModifiedBy>igor cardoso</cp:lastModifiedBy>
  <dcterms:created xsi:type="dcterms:W3CDTF">2026-08-04T12:31:10Z</dcterms:created>
  <dcterms:modified xsi:type="dcterms:W3CDTF">2026-08-10T00:28:05Z</dcterms:modified>
</cp:coreProperties>
</file>