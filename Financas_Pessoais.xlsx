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" sheetId="1" state="visible" r:id="rId1"/>
    <sheet name="Categorias" sheetId="2" state="visible" r:id="rId2"/>
    <sheet name="Lançamentos" sheetId="3" state="visible" r:id="rId3"/>
    <sheet name="Orçamento" sheetId="4" state="visible" r:id="rId4"/>
    <sheet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0" borderId="1" pivotButton="0" quotePrefix="0" xfId="0"/>
    <xf numFmtId="164" fontId="4" fillId="3" borderId="1" pivotButton="0" quotePrefix="0" xfId="0"/>
    <xf numFmtId="0" fontId="5" fillId="0" borderId="0" pivotButton="0" quotePrefix="0" xfId="0"/>
    <xf numFmtId="0" fontId="5" fillId="3" borderId="0" pivotButton="0" quotePrefix="0" xfId="0"/>
    <xf numFmtId="0" fontId="5" fillId="0" borderId="1" pivotButton="0" quotePrefix="0" xfId="0"/>
    <xf numFmtId="4" fontId="4" fillId="3" borderId="1" pivotButton="0" quotePrefix="0" xfId="0"/>
    <xf numFmtId="4" fontId="4" fillId="0" borderId="1" pivotButton="0" quotePrefix="0" xfId="0"/>
    <xf numFmtId="164" fontId="4" fillId="0" borderId="1" pivotButton="0" quotePrefix="0" xfId="0"/>
    <xf numFmtId="4" fontId="5" fillId="0" borderId="0" pivotButton="0" quotePrefix="0" xfId="0"/>
    <xf numFmtId="164" fontId="5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8" customWidth="1" min="4" max="4"/>
    <col width="35" customWidth="1" min="5" max="5"/>
  </cols>
  <sheetData>
    <row r="1">
      <c r="A1" s="1" t="inlineStr">
        <is>
          <t>Contas / Carteiras</t>
        </is>
      </c>
    </row>
    <row r="2">
      <c r="A2" s="2" t="inlineStr">
        <is>
          <t>Preencha aqui todas as contas que você quer controlar. Use o Nome da Conta exatamente igual na aba Lançamentos.</t>
        </is>
      </c>
    </row>
    <row r="4">
      <c r="A4" s="3" t="inlineStr">
        <is>
          <t>Nome da Conta</t>
        </is>
      </c>
      <c r="B4" s="3" t="inlineStr">
        <is>
          <t>Tipo</t>
        </is>
      </c>
      <c r="C4" s="3" t="inlineStr">
        <is>
          <t>Saldo Inicial</t>
        </is>
      </c>
      <c r="D4" s="3" t="inlineStr">
        <is>
          <t>Data Saldo Inicial</t>
        </is>
      </c>
      <c r="E4" s="3" t="inlineStr">
        <is>
          <t>Observações</t>
        </is>
      </c>
    </row>
    <row r="5">
      <c r="A5" s="4" t="inlineStr">
        <is>
          <t>Conta Corrente</t>
        </is>
      </c>
      <c r="B5" s="4" t="inlineStr">
        <is>
          <t>Conta Corrente</t>
        </is>
      </c>
      <c r="C5" s="4" t="n">
        <v>0</v>
      </c>
      <c r="D5" s="4" t="inlineStr">
        <is>
          <t>2026-08-01</t>
        </is>
      </c>
      <c r="E5" s="5" t="inlineStr">
        <is>
          <t>ex.: Banco X</t>
        </is>
      </c>
    </row>
    <row r="6">
      <c r="A6" s="4" t="inlineStr">
        <is>
          <t>Cartão de Crédito</t>
        </is>
      </c>
      <c r="B6" s="4" t="inlineStr">
        <is>
          <t>Cartão de Crédito</t>
        </is>
      </c>
      <c r="C6" s="4" t="n">
        <v>0</v>
      </c>
      <c r="D6" s="4" t="inlineStr">
        <is>
          <t>2026-08-01</t>
        </is>
      </c>
      <c r="E6" s="5" t="inlineStr">
        <is>
          <t>ex.: fatura atual em aberto</t>
        </is>
      </c>
    </row>
    <row r="7">
      <c r="A7" s="4" t="inlineStr">
        <is>
          <t>Carteira</t>
        </is>
      </c>
      <c r="B7" s="4" t="inlineStr">
        <is>
          <t>Dinheiro</t>
        </is>
      </c>
      <c r="C7" s="4" t="n">
        <v>0</v>
      </c>
      <c r="D7" s="4" t="inlineStr">
        <is>
          <t>2026-08-01</t>
        </is>
      </c>
      <c r="E7" s="5" t="inlineStr">
        <is>
          <t>espécie</t>
        </is>
      </c>
    </row>
    <row r="8">
      <c r="A8" s="4" t="inlineStr">
        <is>
          <t>Investimentos</t>
        </is>
      </c>
      <c r="B8" s="4" t="inlineStr">
        <is>
          <t>Investimento</t>
        </is>
      </c>
      <c r="C8" s="4" t="n">
        <v>0</v>
      </c>
      <c r="D8" s="4" t="inlineStr">
        <is>
          <t>2026-08-01</t>
        </is>
      </c>
      <c r="E8" s="5" t="inlineStr">
        <is>
          <t>renda fixa/variável</t>
        </is>
      </c>
    </row>
  </sheetData>
  <dataValidations count="1">
    <dataValidation sqref="B5:B200" showDropDown="0" showInputMessage="0" showErrorMessage="0" allowBlank="1" type="list">
      <formula1>"Conta Corrente,Cartão de Crédito,Dinheiro,Investimento"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</cols>
  <sheetData>
    <row r="1">
      <c r="A1" s="1" t="inlineStr">
        <is>
          <t>Categorias e Subcategorias</t>
        </is>
      </c>
    </row>
    <row r="2">
      <c r="A2" s="2" t="inlineStr">
        <is>
          <t>Categorias padrão sugeridas — edite, adicione ou remova livremente. Use exatamente estes nomes na aba Lançamentos e no Orçamento.</t>
        </is>
      </c>
    </row>
    <row r="4">
      <c r="A4" s="3" t="inlineStr">
        <is>
          <t>Categoria</t>
        </is>
      </c>
      <c r="B4" s="3" t="inlineStr">
        <is>
          <t>Subcategoria</t>
        </is>
      </c>
      <c r="C4" s="3" t="inlineStr">
        <is>
          <t>Tipo</t>
        </is>
      </c>
    </row>
    <row r="5">
      <c r="A5" s="5" t="inlineStr">
        <is>
          <t>Receita</t>
        </is>
      </c>
      <c r="B5" s="5" t="inlineStr">
        <is>
          <t>Salário</t>
        </is>
      </c>
      <c r="C5" s="5" t="inlineStr">
        <is>
          <t>Receita</t>
        </is>
      </c>
    </row>
    <row r="6">
      <c r="A6" s="5" t="inlineStr">
        <is>
          <t>Receita</t>
        </is>
      </c>
      <c r="B6" s="5" t="inlineStr">
        <is>
          <t>Freelance/Extra</t>
        </is>
      </c>
      <c r="C6" s="5" t="inlineStr">
        <is>
          <t>Receita</t>
        </is>
      </c>
    </row>
    <row r="7">
      <c r="A7" s="5" t="inlineStr">
        <is>
          <t>Receita</t>
        </is>
      </c>
      <c r="B7" s="5" t="inlineStr">
        <is>
          <t>Rendimentos de Investimento</t>
        </is>
      </c>
      <c r="C7" s="5" t="inlineStr">
        <is>
          <t>Receita</t>
        </is>
      </c>
    </row>
    <row r="8">
      <c r="A8" s="5" t="inlineStr">
        <is>
          <t>Receita</t>
        </is>
      </c>
      <c r="B8" s="5" t="inlineStr">
        <is>
          <t>Outras Receitas</t>
        </is>
      </c>
      <c r="C8" s="5" t="inlineStr">
        <is>
          <t>Receita</t>
        </is>
      </c>
    </row>
    <row r="9">
      <c r="A9" s="5" t="inlineStr">
        <is>
          <t>Moradia</t>
        </is>
      </c>
      <c r="B9" s="5" t="inlineStr">
        <is>
          <t>Aluguel/Financiamento</t>
        </is>
      </c>
      <c r="C9" s="5" t="inlineStr">
        <is>
          <t>Despesa</t>
        </is>
      </c>
    </row>
    <row r="10">
      <c r="A10" s="5" t="inlineStr">
        <is>
          <t>Moradia</t>
        </is>
      </c>
      <c r="B10" s="5" t="inlineStr">
        <is>
          <t>Condomínio</t>
        </is>
      </c>
      <c r="C10" s="5" t="inlineStr">
        <is>
          <t>Despesa</t>
        </is>
      </c>
    </row>
    <row r="11">
      <c r="A11" s="5" t="inlineStr">
        <is>
          <t>Moradia</t>
        </is>
      </c>
      <c r="B11" s="5" t="inlineStr">
        <is>
          <t>Água/Luz/Gás</t>
        </is>
      </c>
      <c r="C11" s="5" t="inlineStr">
        <is>
          <t>Despesa</t>
        </is>
      </c>
    </row>
    <row r="12">
      <c r="A12" s="5" t="inlineStr">
        <is>
          <t>Moradia</t>
        </is>
      </c>
      <c r="B12" s="5" t="inlineStr">
        <is>
          <t>Internet/Telefone</t>
        </is>
      </c>
      <c r="C12" s="5" t="inlineStr">
        <is>
          <t>Despesa</t>
        </is>
      </c>
    </row>
    <row r="13">
      <c r="A13" s="5" t="inlineStr">
        <is>
          <t>Moradia</t>
        </is>
      </c>
      <c r="B13" s="5" t="inlineStr">
        <is>
          <t>Manutenção</t>
        </is>
      </c>
      <c r="C13" s="5" t="inlineStr">
        <is>
          <t>Despesa</t>
        </is>
      </c>
    </row>
    <row r="14">
      <c r="A14" s="5" t="inlineStr">
        <is>
          <t>Alimentação</t>
        </is>
      </c>
      <c r="B14" s="5" t="inlineStr">
        <is>
          <t>Supermercado</t>
        </is>
      </c>
      <c r="C14" s="5" t="inlineStr">
        <is>
          <t>Despesa</t>
        </is>
      </c>
    </row>
    <row r="15">
      <c r="A15" s="5" t="inlineStr">
        <is>
          <t>Alimentação</t>
        </is>
      </c>
      <c r="B15" s="5" t="inlineStr">
        <is>
          <t>Restaurante/Delivery</t>
        </is>
      </c>
      <c r="C15" s="5" t="inlineStr">
        <is>
          <t>Despesa</t>
        </is>
      </c>
    </row>
    <row r="16">
      <c r="A16" s="5" t="inlineStr">
        <is>
          <t>Transporte</t>
        </is>
      </c>
      <c r="B16" s="5" t="inlineStr">
        <is>
          <t>Combustível</t>
        </is>
      </c>
      <c r="C16" s="5" t="inlineStr">
        <is>
          <t>Despesa</t>
        </is>
      </c>
    </row>
    <row r="17">
      <c r="A17" s="5" t="inlineStr">
        <is>
          <t>Transporte</t>
        </is>
      </c>
      <c r="B17" s="5" t="inlineStr">
        <is>
          <t>Transporte Público/App</t>
        </is>
      </c>
      <c r="C17" s="5" t="inlineStr">
        <is>
          <t>Despesa</t>
        </is>
      </c>
    </row>
    <row r="18">
      <c r="A18" s="5" t="inlineStr">
        <is>
          <t>Transporte</t>
        </is>
      </c>
      <c r="B18" s="5" t="inlineStr">
        <is>
          <t>Manutenção Veículo</t>
        </is>
      </c>
      <c r="C18" s="5" t="inlineStr">
        <is>
          <t>Despesa</t>
        </is>
      </c>
    </row>
    <row r="19">
      <c r="A19" s="5" t="inlineStr">
        <is>
          <t>Saúde</t>
        </is>
      </c>
      <c r="B19" s="5" t="inlineStr">
        <is>
          <t>Plano de Saúde</t>
        </is>
      </c>
      <c r="C19" s="5" t="inlineStr">
        <is>
          <t>Despesa</t>
        </is>
      </c>
    </row>
    <row r="20">
      <c r="A20" s="5" t="inlineStr">
        <is>
          <t>Saúde</t>
        </is>
      </c>
      <c r="B20" s="5" t="inlineStr">
        <is>
          <t>Farmácia</t>
        </is>
      </c>
      <c r="C20" s="5" t="inlineStr">
        <is>
          <t>Despesa</t>
        </is>
      </c>
    </row>
    <row r="21">
      <c r="A21" s="5" t="inlineStr">
        <is>
          <t>Saúde</t>
        </is>
      </c>
      <c r="B21" s="5" t="inlineStr">
        <is>
          <t>Consultas/Exames</t>
        </is>
      </c>
      <c r="C21" s="5" t="inlineStr">
        <is>
          <t>Despesa</t>
        </is>
      </c>
    </row>
    <row r="22">
      <c r="A22" s="5" t="inlineStr">
        <is>
          <t>Educação</t>
        </is>
      </c>
      <c r="B22" s="5" t="inlineStr">
        <is>
          <t>Cursos/Mensalidades</t>
        </is>
      </c>
      <c r="C22" s="5" t="inlineStr">
        <is>
          <t>Despesa</t>
        </is>
      </c>
    </row>
    <row r="23">
      <c r="A23" s="5" t="inlineStr">
        <is>
          <t>Educação</t>
        </is>
      </c>
      <c r="B23" s="5" t="inlineStr">
        <is>
          <t>Livros/Material</t>
        </is>
      </c>
      <c r="C23" s="5" t="inlineStr">
        <is>
          <t>Despesa</t>
        </is>
      </c>
    </row>
    <row r="24">
      <c r="A24" s="5" t="inlineStr">
        <is>
          <t>Lazer</t>
        </is>
      </c>
      <c r="B24" s="5" t="inlineStr">
        <is>
          <t>Assinaturas/Streaming</t>
        </is>
      </c>
      <c r="C24" s="5" t="inlineStr">
        <is>
          <t>Despesa</t>
        </is>
      </c>
    </row>
    <row r="25">
      <c r="A25" s="5" t="inlineStr">
        <is>
          <t>Lazer</t>
        </is>
      </c>
      <c r="B25" s="5" t="inlineStr">
        <is>
          <t>Viagens</t>
        </is>
      </c>
      <c r="C25" s="5" t="inlineStr">
        <is>
          <t>Despesa</t>
        </is>
      </c>
    </row>
    <row r="26">
      <c r="A26" s="5" t="inlineStr">
        <is>
          <t>Lazer</t>
        </is>
      </c>
      <c r="B26" s="5" t="inlineStr">
        <is>
          <t>Entretenimento</t>
        </is>
      </c>
      <c r="C26" s="5" t="inlineStr">
        <is>
          <t>Despesa</t>
        </is>
      </c>
    </row>
    <row r="27">
      <c r="A27" s="5" t="inlineStr">
        <is>
          <t>Vestuário</t>
        </is>
      </c>
      <c r="B27" s="5" t="inlineStr">
        <is>
          <t>Roupas/Acessórios</t>
        </is>
      </c>
      <c r="C27" s="5" t="inlineStr">
        <is>
          <t>Despesa</t>
        </is>
      </c>
    </row>
    <row r="28">
      <c r="A28" s="5" t="inlineStr">
        <is>
          <t>Cartão de Crédito</t>
        </is>
      </c>
      <c r="B28" s="5" t="inlineStr">
        <is>
          <t>Fatura/Parcelamentos</t>
        </is>
      </c>
      <c r="C28" s="5" t="inlineStr">
        <is>
          <t>Despesa</t>
        </is>
      </c>
    </row>
    <row r="29">
      <c r="A29" s="5" t="inlineStr">
        <is>
          <t>Investimentos</t>
        </is>
      </c>
      <c r="B29" s="5" t="inlineStr">
        <is>
          <t>Aporte</t>
        </is>
      </c>
      <c r="C29" s="5" t="inlineStr">
        <is>
          <t>Despesa</t>
        </is>
      </c>
    </row>
    <row r="30">
      <c r="A30" s="5" t="inlineStr">
        <is>
          <t>Dívidas</t>
        </is>
      </c>
      <c r="B30" s="5" t="inlineStr">
        <is>
          <t>Empréstimos/Financiamentos</t>
        </is>
      </c>
      <c r="C30" s="5" t="inlineStr">
        <is>
          <t>Despesa</t>
        </is>
      </c>
    </row>
    <row r="31">
      <c r="A31" s="5" t="inlineStr">
        <is>
          <t>Outros</t>
        </is>
      </c>
      <c r="B31" s="5" t="inlineStr">
        <is>
          <t>Diversos</t>
        </is>
      </c>
      <c r="C31" s="5" t="inlineStr">
        <is>
          <t>Despesa</t>
        </is>
      </c>
    </row>
  </sheetData>
  <dataValidations count="1">
    <dataValidation sqref="C5:C200" showDropDown="0" showInputMessage="0" showErrorMessage="0" allowBlank="1" type="list">
      <formula1>"Receita,Despesa"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  <col width="10" customWidth="1" min="5" max="5"/>
    <col width="30" customWidth="1" min="6" max="6"/>
    <col width="12" customWidth="1" min="7" max="7"/>
    <col width="16" customWidth="1" min="8" max="8"/>
    <col width="10" customWidth="1" min="9" max="9"/>
    <col width="12" customWidth="1" min="10" max="10"/>
  </cols>
  <sheetData>
    <row r="1">
      <c r="A1" s="1" t="inlineStr">
        <is>
          <t>Lançamentos</t>
        </is>
      </c>
    </row>
    <row r="2">
      <c r="A2" s="2" t="inlineStr">
        <is>
          <t>Registre aqui manualmente cada movimentação. Use os menus (Conta, Categoria, Tipo) para manter consistência.</t>
        </is>
      </c>
    </row>
    <row r="4">
      <c r="A4" s="3" t="inlineStr">
        <is>
          <t>Data</t>
        </is>
      </c>
      <c r="B4" s="3" t="inlineStr">
        <is>
          <t>Conta</t>
        </is>
      </c>
      <c r="C4" s="3" t="inlineStr">
        <is>
          <t>Categoria</t>
        </is>
      </c>
      <c r="D4" s="3" t="inlineStr">
        <is>
          <t>Subcategoria</t>
        </is>
      </c>
      <c r="E4" s="3" t="inlineStr">
        <is>
          <t>Tipo</t>
        </is>
      </c>
      <c r="F4" s="3" t="inlineStr">
        <is>
          <t>Descrição</t>
        </is>
      </c>
      <c r="G4" s="3" t="inlineStr">
        <is>
          <t>Valor</t>
        </is>
      </c>
      <c r="H4" s="3" t="inlineStr">
        <is>
          <t>Forma de Pagamento</t>
        </is>
      </c>
      <c r="I4" s="3" t="inlineStr">
        <is>
          <t>Parcela</t>
        </is>
      </c>
      <c r="J4" s="3" t="inlineStr">
        <is>
          <t>Status</t>
        </is>
      </c>
    </row>
    <row r="5">
      <c r="A5" s="4" t="inlineStr">
        <is>
          <t>2026-08-01</t>
        </is>
      </c>
      <c r="B5" s="4" t="inlineStr">
        <is>
          <t>Conta Corrente</t>
        </is>
      </c>
      <c r="C5" s="4" t="inlineStr">
        <is>
          <t>Receita</t>
        </is>
      </c>
      <c r="D5" s="4" t="inlineStr">
        <is>
          <t>Salário</t>
        </is>
      </c>
      <c r="E5" s="4" t="inlineStr">
        <is>
          <t>Receita</t>
        </is>
      </c>
      <c r="F5" s="4" t="inlineStr">
        <is>
          <t>Salário mensal</t>
        </is>
      </c>
      <c r="G5" s="6" t="n">
        <v>5000</v>
      </c>
      <c r="H5" s="4" t="inlineStr">
        <is>
          <t>Transferência</t>
        </is>
      </c>
      <c r="I5" s="4" t="inlineStr"/>
      <c r="J5" s="4" t="inlineStr">
        <is>
          <t>Pago</t>
        </is>
      </c>
    </row>
    <row r="6">
      <c r="A6" s="4" t="inlineStr">
        <is>
          <t>2026-08-03</t>
        </is>
      </c>
      <c r="B6" s="4" t="inlineStr">
        <is>
          <t>Cartão de Crédito</t>
        </is>
      </c>
      <c r="C6" s="4" t="inlineStr">
        <is>
          <t>Alimentação</t>
        </is>
      </c>
      <c r="D6" s="4" t="inlineStr">
        <is>
          <t>Supermercado</t>
        </is>
      </c>
      <c r="E6" s="4" t="inlineStr">
        <is>
          <t>Despesa</t>
        </is>
      </c>
      <c r="F6" s="4" t="inlineStr">
        <is>
          <t>Compras do mês</t>
        </is>
      </c>
      <c r="G6" s="6" t="n">
        <v>450.3</v>
      </c>
      <c r="H6" s="4" t="inlineStr">
        <is>
          <t>Crédito</t>
        </is>
      </c>
      <c r="I6" s="4" t="inlineStr">
        <is>
          <t>1/1</t>
        </is>
      </c>
      <c r="J6" s="4" t="inlineStr">
        <is>
          <t>Pendente</t>
        </is>
      </c>
    </row>
  </sheetData>
  <dataValidations count="5">
    <dataValidation sqref="B5:B2000" showDropDown="0" showInputMessage="0" showErrorMessage="0" allowBlank="1" type="list">
      <formula1>=Contas!$A$5:$A$200</formula1>
    </dataValidation>
    <dataValidation sqref="C5:C2000" showDropDown="0" showInputMessage="0" showErrorMessage="0" allowBlank="1" type="list">
      <formula1>=Categorias!$A$5:$A$200</formula1>
    </dataValidation>
    <dataValidation sqref="E5:E2000" showDropDown="0" showInputMessage="0" showErrorMessage="0" allowBlank="1" type="list">
      <formula1>"Receita,Despesa"</formula1>
    </dataValidation>
    <dataValidation sqref="H5:H2000" showDropDown="0" showInputMessage="0" showErrorMessage="0" allowBlank="1" type="list">
      <formula1>"Débito,Crédito,Dinheiro,Transferência,Pix,Boleto"</formula1>
    </dataValidation>
    <dataValidation sqref="J5:J2000" showDropDown="0" showInputMessage="0" showErrorMessage="0" allowBlank="1" type="list">
      <formula1>"Pago,Pendente,Agendado"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" t="inlineStr">
        <is>
          <t>Orçamento Mensal — Planejado x Realizado</t>
        </is>
      </c>
    </row>
    <row r="2">
      <c r="A2" s="2" t="inlineStr">
        <is>
          <t>Preencha o valor Planejado por categoria e mês (célula amarela). Realizado é calculado automaticamente a partir da aba Lançamentos.</t>
        </is>
      </c>
    </row>
    <row r="3">
      <c r="A3" s="7" t="inlineStr">
        <is>
          <t>Ano de Referência:</t>
        </is>
      </c>
      <c r="B3" s="8" t="n">
        <v>2026</v>
      </c>
    </row>
    <row r="5">
      <c r="A5" s="3" t="inlineStr">
        <is>
          <t>Categoria</t>
        </is>
      </c>
      <c r="B5" s="3" t="inlineStr">
        <is>
          <t>Janeiro - Planejado</t>
        </is>
      </c>
      <c r="C5" s="3" t="inlineStr">
        <is>
          <t>Janeiro - Realizado</t>
        </is>
      </c>
      <c r="D5" s="3" t="inlineStr">
        <is>
          <t>Janeiro - Diferença</t>
        </is>
      </c>
      <c r="E5" s="3" t="inlineStr">
        <is>
          <t>Fevereiro - Planejado</t>
        </is>
      </c>
      <c r="F5" s="3" t="inlineStr">
        <is>
          <t>Fevereiro - Realizado</t>
        </is>
      </c>
      <c r="G5" s="3" t="inlineStr">
        <is>
          <t>Fevereiro - Diferença</t>
        </is>
      </c>
      <c r="H5" s="3" t="inlineStr">
        <is>
          <t>Março - Planejado</t>
        </is>
      </c>
      <c r="I5" s="3" t="inlineStr">
        <is>
          <t>Março - Realizado</t>
        </is>
      </c>
      <c r="J5" s="3" t="inlineStr">
        <is>
          <t>Março - Diferença</t>
        </is>
      </c>
      <c r="K5" s="3" t="inlineStr">
        <is>
          <t>Abril - Planejado</t>
        </is>
      </c>
      <c r="L5" s="3" t="inlineStr">
        <is>
          <t>Abril - Realizado</t>
        </is>
      </c>
      <c r="M5" s="3" t="inlineStr">
        <is>
          <t>Abril - Diferença</t>
        </is>
      </c>
      <c r="N5" s="3" t="inlineStr">
        <is>
          <t>Maio - Planejado</t>
        </is>
      </c>
      <c r="O5" s="3" t="inlineStr">
        <is>
          <t>Maio - Realizado</t>
        </is>
      </c>
      <c r="P5" s="3" t="inlineStr">
        <is>
          <t>Maio - Diferença</t>
        </is>
      </c>
      <c r="Q5" s="3" t="inlineStr">
        <is>
          <t>Junho - Planejado</t>
        </is>
      </c>
      <c r="R5" s="3" t="inlineStr">
        <is>
          <t>Junho - Realizado</t>
        </is>
      </c>
      <c r="S5" s="3" t="inlineStr">
        <is>
          <t>Junho - Diferença</t>
        </is>
      </c>
      <c r="T5" s="3" t="inlineStr">
        <is>
          <t>Julho - Planejado</t>
        </is>
      </c>
      <c r="U5" s="3" t="inlineStr">
        <is>
          <t>Julho - Realizado</t>
        </is>
      </c>
      <c r="V5" s="3" t="inlineStr">
        <is>
          <t>Julho - Diferença</t>
        </is>
      </c>
      <c r="W5" s="3" t="inlineStr">
        <is>
          <t>Agosto - Planejado</t>
        </is>
      </c>
      <c r="X5" s="3" t="inlineStr">
        <is>
          <t>Agosto - Realizado</t>
        </is>
      </c>
      <c r="Y5" s="3" t="inlineStr">
        <is>
          <t>Agosto - Diferença</t>
        </is>
      </c>
      <c r="Z5" s="3" t="inlineStr">
        <is>
          <t>Setembro - Planejado</t>
        </is>
      </c>
      <c r="AA5" s="3" t="inlineStr">
        <is>
          <t>Setembro - Realizado</t>
        </is>
      </c>
      <c r="AB5" s="3" t="inlineStr">
        <is>
          <t>Setembro - Diferença</t>
        </is>
      </c>
      <c r="AC5" s="3" t="inlineStr">
        <is>
          <t>Outubro - Planejado</t>
        </is>
      </c>
      <c r="AD5" s="3" t="inlineStr">
        <is>
          <t>Outubro - Realizado</t>
        </is>
      </c>
      <c r="AE5" s="3" t="inlineStr">
        <is>
          <t>Outubro - Diferença</t>
        </is>
      </c>
      <c r="AF5" s="3" t="inlineStr">
        <is>
          <t>Novembro - Planejado</t>
        </is>
      </c>
      <c r="AG5" s="3" t="inlineStr">
        <is>
          <t>Novembro - Realizado</t>
        </is>
      </c>
      <c r="AH5" s="3" t="inlineStr">
        <is>
          <t>Novembro - Diferença</t>
        </is>
      </c>
      <c r="AI5" s="3" t="inlineStr">
        <is>
          <t>Dezembro - Planejado</t>
        </is>
      </c>
      <c r="AJ5" s="3" t="inlineStr">
        <is>
          <t>Dezembro - Realizado</t>
        </is>
      </c>
      <c r="AK5" s="3" t="inlineStr">
        <is>
          <t>Dezembro - Diferença</t>
        </is>
      </c>
    </row>
    <row r="6">
      <c r="A6" s="9" t="inlineStr">
        <is>
          <t>Alimentação</t>
        </is>
      </c>
      <c r="B6" s="10" t="n">
        <v>0</v>
      </c>
      <c r="C6" s="11">
        <f>SUMPRODUCT((Lançamentos!$C$5:$C$2000=$A6)*(Lançamentos!$E$5:$E$2000="Despesa")*(YEAR(Lançamentos!$A$5:$A$2000)=$B$3)*(MONTH(Lançamentos!$A$5:$A$2000)=1)*Lançamentos!$G$5:$G$2000)</f>
        <v/>
      </c>
      <c r="D6" s="12">
        <f>B6-C6</f>
        <v/>
      </c>
      <c r="E6" s="10" t="n">
        <v>0</v>
      </c>
      <c r="F6" s="11">
        <f>SUMPRODUCT((Lançamentos!$C$5:$C$2000=$A6)*(Lançamentos!$E$5:$E$2000="Despesa")*(YEAR(Lançamentos!$A$5:$A$2000)=$B$3)*(MONTH(Lançamentos!$A$5:$A$2000)=2)*Lançamentos!$G$5:$G$2000)</f>
        <v/>
      </c>
      <c r="G6" s="12">
        <f>E6-F6</f>
        <v/>
      </c>
      <c r="H6" s="10" t="n">
        <v>0</v>
      </c>
      <c r="I6" s="11">
        <f>SUMPRODUCT((Lançamentos!$C$5:$C$2000=$A6)*(Lançamentos!$E$5:$E$2000="Despesa")*(YEAR(Lançamentos!$A$5:$A$2000)=$B$3)*(MONTH(Lançamentos!$A$5:$A$2000)=3)*Lançamentos!$G$5:$G$2000)</f>
        <v/>
      </c>
      <c r="J6" s="12">
        <f>H6-I6</f>
        <v/>
      </c>
      <c r="K6" s="10" t="n">
        <v>0</v>
      </c>
      <c r="L6" s="11">
        <f>SUMPRODUCT((Lançamentos!$C$5:$C$2000=$A6)*(Lançamentos!$E$5:$E$2000="Despesa")*(YEAR(Lançamentos!$A$5:$A$2000)=$B$3)*(MONTH(Lançamentos!$A$5:$A$2000)=4)*Lançamentos!$G$5:$G$2000)</f>
        <v/>
      </c>
      <c r="M6" s="12">
        <f>K6-L6</f>
        <v/>
      </c>
      <c r="N6" s="10" t="n">
        <v>0</v>
      </c>
      <c r="O6" s="11">
        <f>SUMPRODUCT((Lançamentos!$C$5:$C$2000=$A6)*(Lançamentos!$E$5:$E$2000="Despesa")*(YEAR(Lançamentos!$A$5:$A$2000)=$B$3)*(MONTH(Lançamentos!$A$5:$A$2000)=5)*Lançamentos!$G$5:$G$2000)</f>
        <v/>
      </c>
      <c r="P6" s="12">
        <f>N6-O6</f>
        <v/>
      </c>
      <c r="Q6" s="10" t="n">
        <v>0</v>
      </c>
      <c r="R6" s="11">
        <f>SUMPRODUCT((Lançamentos!$C$5:$C$2000=$A6)*(Lançamentos!$E$5:$E$2000="Despesa")*(YEAR(Lançamentos!$A$5:$A$2000)=$B$3)*(MONTH(Lançamentos!$A$5:$A$2000)=6)*Lançamentos!$G$5:$G$2000)</f>
        <v/>
      </c>
      <c r="S6" s="12">
        <f>Q6-R6</f>
        <v/>
      </c>
      <c r="T6" s="10" t="n">
        <v>0</v>
      </c>
      <c r="U6" s="11">
        <f>SUMPRODUCT((Lançamentos!$C$5:$C$2000=$A6)*(Lançamentos!$E$5:$E$2000="Despesa")*(YEAR(Lançamentos!$A$5:$A$2000)=$B$3)*(MONTH(Lançamentos!$A$5:$A$2000)=7)*Lançamentos!$G$5:$G$2000)</f>
        <v/>
      </c>
      <c r="V6" s="12">
        <f>T6-U6</f>
        <v/>
      </c>
      <c r="W6" s="10" t="n">
        <v>0</v>
      </c>
      <c r="X6" s="11">
        <f>SUMPRODUCT((Lançamentos!$C$5:$C$2000=$A6)*(Lançamentos!$E$5:$E$2000="Despesa")*(YEAR(Lançamentos!$A$5:$A$2000)=$B$3)*(MONTH(Lançamentos!$A$5:$A$2000)=8)*Lançamentos!$G$5:$G$2000)</f>
        <v/>
      </c>
      <c r="Y6" s="12">
        <f>W6-X6</f>
        <v/>
      </c>
      <c r="Z6" s="10" t="n">
        <v>0</v>
      </c>
      <c r="AA6" s="11">
        <f>SUMPRODUCT((Lançamentos!$C$5:$C$2000=$A6)*(Lançamentos!$E$5:$E$2000="Despesa")*(YEAR(Lançamentos!$A$5:$A$2000)=$B$3)*(MONTH(Lançamentos!$A$5:$A$2000)=9)*Lançamentos!$G$5:$G$2000)</f>
        <v/>
      </c>
      <c r="AB6" s="12">
        <f>Z6-AA6</f>
        <v/>
      </c>
      <c r="AC6" s="10" t="n">
        <v>0</v>
      </c>
      <c r="AD6" s="11">
        <f>SUMPRODUCT((Lançamentos!$C$5:$C$2000=$A6)*(Lançamentos!$E$5:$E$2000="Despesa")*(YEAR(Lançamentos!$A$5:$A$2000)=$B$3)*(MONTH(Lançamentos!$A$5:$A$2000)=10)*Lançamentos!$G$5:$G$2000)</f>
        <v/>
      </c>
      <c r="AE6" s="12">
        <f>AC6-AD6</f>
        <v/>
      </c>
      <c r="AF6" s="10" t="n">
        <v>0</v>
      </c>
      <c r="AG6" s="11">
        <f>SUMPRODUCT((Lançamentos!$C$5:$C$2000=$A6)*(Lançamentos!$E$5:$E$2000="Despesa")*(YEAR(Lançamentos!$A$5:$A$2000)=$B$3)*(MONTH(Lançamentos!$A$5:$A$2000)=11)*Lançamentos!$G$5:$G$2000)</f>
        <v/>
      </c>
      <c r="AH6" s="12">
        <f>AF6-AG6</f>
        <v/>
      </c>
      <c r="AI6" s="10" t="n">
        <v>0</v>
      </c>
      <c r="AJ6" s="11">
        <f>SUMPRODUCT((Lançamentos!$C$5:$C$2000=$A6)*(Lançamentos!$E$5:$E$2000="Despesa")*(YEAR(Lançamentos!$A$5:$A$2000)=$B$3)*(MONTH(Lançamentos!$A$5:$A$2000)=12)*Lançamentos!$G$5:$G$2000)</f>
        <v/>
      </c>
      <c r="AK6" s="12">
        <f>AI6-AJ6</f>
        <v/>
      </c>
    </row>
    <row r="7">
      <c r="A7" s="9" t="inlineStr">
        <is>
          <t>Cartão de Crédito</t>
        </is>
      </c>
      <c r="B7" s="10" t="n">
        <v>0</v>
      </c>
      <c r="C7" s="11">
        <f>SUMPRODUCT((Lançamentos!$C$5:$C$2000=$A7)*(Lançamentos!$E$5:$E$2000="Despesa")*(YEAR(Lançamentos!$A$5:$A$2000)=$B$3)*(MONTH(Lançamentos!$A$5:$A$2000)=1)*Lançamentos!$G$5:$G$2000)</f>
        <v/>
      </c>
      <c r="D7" s="12">
        <f>B7-C7</f>
        <v/>
      </c>
      <c r="E7" s="10" t="n">
        <v>0</v>
      </c>
      <c r="F7" s="11">
        <f>SUMPRODUCT((Lançamentos!$C$5:$C$2000=$A7)*(Lançamentos!$E$5:$E$2000="Despesa")*(YEAR(Lançamentos!$A$5:$A$2000)=$B$3)*(MONTH(Lançamentos!$A$5:$A$2000)=2)*Lançamentos!$G$5:$G$2000)</f>
        <v/>
      </c>
      <c r="G7" s="12">
        <f>E7-F7</f>
        <v/>
      </c>
      <c r="H7" s="10" t="n">
        <v>0</v>
      </c>
      <c r="I7" s="11">
        <f>SUMPRODUCT((Lançamentos!$C$5:$C$2000=$A7)*(Lançamentos!$E$5:$E$2000="Despesa")*(YEAR(Lançamentos!$A$5:$A$2000)=$B$3)*(MONTH(Lançamentos!$A$5:$A$2000)=3)*Lançamentos!$G$5:$G$2000)</f>
        <v/>
      </c>
      <c r="J7" s="12">
        <f>H7-I7</f>
        <v/>
      </c>
      <c r="K7" s="10" t="n">
        <v>0</v>
      </c>
      <c r="L7" s="11">
        <f>SUMPRODUCT((Lançamentos!$C$5:$C$2000=$A7)*(Lançamentos!$E$5:$E$2000="Despesa")*(YEAR(Lançamentos!$A$5:$A$2000)=$B$3)*(MONTH(Lançamentos!$A$5:$A$2000)=4)*Lançamentos!$G$5:$G$2000)</f>
        <v/>
      </c>
      <c r="M7" s="12">
        <f>K7-L7</f>
        <v/>
      </c>
      <c r="N7" s="10" t="n">
        <v>0</v>
      </c>
      <c r="O7" s="11">
        <f>SUMPRODUCT((Lançamentos!$C$5:$C$2000=$A7)*(Lançamentos!$E$5:$E$2000="Despesa")*(YEAR(Lançamentos!$A$5:$A$2000)=$B$3)*(MONTH(Lançamentos!$A$5:$A$2000)=5)*Lançamentos!$G$5:$G$2000)</f>
        <v/>
      </c>
      <c r="P7" s="12">
        <f>N7-O7</f>
        <v/>
      </c>
      <c r="Q7" s="10" t="n">
        <v>0</v>
      </c>
      <c r="R7" s="11">
        <f>SUMPRODUCT((Lançamentos!$C$5:$C$2000=$A7)*(Lançamentos!$E$5:$E$2000="Despesa")*(YEAR(Lançamentos!$A$5:$A$2000)=$B$3)*(MONTH(Lançamentos!$A$5:$A$2000)=6)*Lançamentos!$G$5:$G$2000)</f>
        <v/>
      </c>
      <c r="S7" s="12">
        <f>Q7-R7</f>
        <v/>
      </c>
      <c r="T7" s="10" t="n">
        <v>0</v>
      </c>
      <c r="U7" s="11">
        <f>SUMPRODUCT((Lançamentos!$C$5:$C$2000=$A7)*(Lançamentos!$E$5:$E$2000="Despesa")*(YEAR(Lançamentos!$A$5:$A$2000)=$B$3)*(MONTH(Lançamentos!$A$5:$A$2000)=7)*Lançamentos!$G$5:$G$2000)</f>
        <v/>
      </c>
      <c r="V7" s="12">
        <f>T7-U7</f>
        <v/>
      </c>
      <c r="W7" s="10" t="n">
        <v>0</v>
      </c>
      <c r="X7" s="11">
        <f>SUMPRODUCT((Lançamentos!$C$5:$C$2000=$A7)*(Lançamentos!$E$5:$E$2000="Despesa")*(YEAR(Lançamentos!$A$5:$A$2000)=$B$3)*(MONTH(Lançamentos!$A$5:$A$2000)=8)*Lançamentos!$G$5:$G$2000)</f>
        <v/>
      </c>
      <c r="Y7" s="12">
        <f>W7-X7</f>
        <v/>
      </c>
      <c r="Z7" s="10" t="n">
        <v>0</v>
      </c>
      <c r="AA7" s="11">
        <f>SUMPRODUCT((Lançamentos!$C$5:$C$2000=$A7)*(Lançamentos!$E$5:$E$2000="Despesa")*(YEAR(Lançamentos!$A$5:$A$2000)=$B$3)*(MONTH(Lançamentos!$A$5:$A$2000)=9)*Lançamentos!$G$5:$G$2000)</f>
        <v/>
      </c>
      <c r="AB7" s="12">
        <f>Z7-AA7</f>
        <v/>
      </c>
      <c r="AC7" s="10" t="n">
        <v>0</v>
      </c>
      <c r="AD7" s="11">
        <f>SUMPRODUCT((Lançamentos!$C$5:$C$2000=$A7)*(Lançamentos!$E$5:$E$2000="Despesa")*(YEAR(Lançamentos!$A$5:$A$2000)=$B$3)*(MONTH(Lançamentos!$A$5:$A$2000)=10)*Lançamentos!$G$5:$G$2000)</f>
        <v/>
      </c>
      <c r="AE7" s="12">
        <f>AC7-AD7</f>
        <v/>
      </c>
      <c r="AF7" s="10" t="n">
        <v>0</v>
      </c>
      <c r="AG7" s="11">
        <f>SUMPRODUCT((Lançamentos!$C$5:$C$2000=$A7)*(Lançamentos!$E$5:$E$2000="Despesa")*(YEAR(Lançamentos!$A$5:$A$2000)=$B$3)*(MONTH(Lançamentos!$A$5:$A$2000)=11)*Lançamentos!$G$5:$G$2000)</f>
        <v/>
      </c>
      <c r="AH7" s="12">
        <f>AF7-AG7</f>
        <v/>
      </c>
      <c r="AI7" s="10" t="n">
        <v>0</v>
      </c>
      <c r="AJ7" s="11">
        <f>SUMPRODUCT((Lançamentos!$C$5:$C$2000=$A7)*(Lançamentos!$E$5:$E$2000="Despesa")*(YEAR(Lançamentos!$A$5:$A$2000)=$B$3)*(MONTH(Lançamentos!$A$5:$A$2000)=12)*Lançamentos!$G$5:$G$2000)</f>
        <v/>
      </c>
      <c r="AK7" s="12">
        <f>AI7-AJ7</f>
        <v/>
      </c>
    </row>
    <row r="8">
      <c r="A8" s="9" t="inlineStr">
        <is>
          <t>Dívidas</t>
        </is>
      </c>
      <c r="B8" s="10" t="n">
        <v>0</v>
      </c>
      <c r="C8" s="11">
        <f>SUMPRODUCT((Lançamentos!$C$5:$C$2000=$A8)*(Lançamentos!$E$5:$E$2000="Despesa")*(YEAR(Lançamentos!$A$5:$A$2000)=$B$3)*(MONTH(Lançamentos!$A$5:$A$2000)=1)*Lançamentos!$G$5:$G$2000)</f>
        <v/>
      </c>
      <c r="D8" s="12">
        <f>B8-C8</f>
        <v/>
      </c>
      <c r="E8" s="10" t="n">
        <v>0</v>
      </c>
      <c r="F8" s="11">
        <f>SUMPRODUCT((Lançamentos!$C$5:$C$2000=$A8)*(Lançamentos!$E$5:$E$2000="Despesa")*(YEAR(Lançamentos!$A$5:$A$2000)=$B$3)*(MONTH(Lançamentos!$A$5:$A$2000)=2)*Lançamentos!$G$5:$G$2000)</f>
        <v/>
      </c>
      <c r="G8" s="12">
        <f>E8-F8</f>
        <v/>
      </c>
      <c r="H8" s="10" t="n">
        <v>0</v>
      </c>
      <c r="I8" s="11">
        <f>SUMPRODUCT((Lançamentos!$C$5:$C$2000=$A8)*(Lançamentos!$E$5:$E$2000="Despesa")*(YEAR(Lançamentos!$A$5:$A$2000)=$B$3)*(MONTH(Lançamentos!$A$5:$A$2000)=3)*Lançamentos!$G$5:$G$2000)</f>
        <v/>
      </c>
      <c r="J8" s="12">
        <f>H8-I8</f>
        <v/>
      </c>
      <c r="K8" s="10" t="n">
        <v>0</v>
      </c>
      <c r="L8" s="11">
        <f>SUMPRODUCT((Lançamentos!$C$5:$C$2000=$A8)*(Lançamentos!$E$5:$E$2000="Despesa")*(YEAR(Lançamentos!$A$5:$A$2000)=$B$3)*(MONTH(Lançamentos!$A$5:$A$2000)=4)*Lançamentos!$G$5:$G$2000)</f>
        <v/>
      </c>
      <c r="M8" s="12">
        <f>K8-L8</f>
        <v/>
      </c>
      <c r="N8" s="10" t="n">
        <v>0</v>
      </c>
      <c r="O8" s="11">
        <f>SUMPRODUCT((Lançamentos!$C$5:$C$2000=$A8)*(Lançamentos!$E$5:$E$2000="Despesa")*(YEAR(Lançamentos!$A$5:$A$2000)=$B$3)*(MONTH(Lançamentos!$A$5:$A$2000)=5)*Lançamentos!$G$5:$G$2000)</f>
        <v/>
      </c>
      <c r="P8" s="12">
        <f>N8-O8</f>
        <v/>
      </c>
      <c r="Q8" s="10" t="n">
        <v>0</v>
      </c>
      <c r="R8" s="11">
        <f>SUMPRODUCT((Lançamentos!$C$5:$C$2000=$A8)*(Lançamentos!$E$5:$E$2000="Despesa")*(YEAR(Lançamentos!$A$5:$A$2000)=$B$3)*(MONTH(Lançamentos!$A$5:$A$2000)=6)*Lançamentos!$G$5:$G$2000)</f>
        <v/>
      </c>
      <c r="S8" s="12">
        <f>Q8-R8</f>
        <v/>
      </c>
      <c r="T8" s="10" t="n">
        <v>0</v>
      </c>
      <c r="U8" s="11">
        <f>SUMPRODUCT((Lançamentos!$C$5:$C$2000=$A8)*(Lançamentos!$E$5:$E$2000="Despesa")*(YEAR(Lançamentos!$A$5:$A$2000)=$B$3)*(MONTH(Lançamentos!$A$5:$A$2000)=7)*Lançamentos!$G$5:$G$2000)</f>
        <v/>
      </c>
      <c r="V8" s="12">
        <f>T8-U8</f>
        <v/>
      </c>
      <c r="W8" s="10" t="n">
        <v>0</v>
      </c>
      <c r="X8" s="11">
        <f>SUMPRODUCT((Lançamentos!$C$5:$C$2000=$A8)*(Lançamentos!$E$5:$E$2000="Despesa")*(YEAR(Lançamentos!$A$5:$A$2000)=$B$3)*(MONTH(Lançamentos!$A$5:$A$2000)=8)*Lançamentos!$G$5:$G$2000)</f>
        <v/>
      </c>
      <c r="Y8" s="12">
        <f>W8-X8</f>
        <v/>
      </c>
      <c r="Z8" s="10" t="n">
        <v>0</v>
      </c>
      <c r="AA8" s="11">
        <f>SUMPRODUCT((Lançamentos!$C$5:$C$2000=$A8)*(Lançamentos!$E$5:$E$2000="Despesa")*(YEAR(Lançamentos!$A$5:$A$2000)=$B$3)*(MONTH(Lançamentos!$A$5:$A$2000)=9)*Lançamentos!$G$5:$G$2000)</f>
        <v/>
      </c>
      <c r="AB8" s="12">
        <f>Z8-AA8</f>
        <v/>
      </c>
      <c r="AC8" s="10" t="n">
        <v>0</v>
      </c>
      <c r="AD8" s="11">
        <f>SUMPRODUCT((Lançamentos!$C$5:$C$2000=$A8)*(Lançamentos!$E$5:$E$2000="Despesa")*(YEAR(Lançamentos!$A$5:$A$2000)=$B$3)*(MONTH(Lançamentos!$A$5:$A$2000)=10)*Lançamentos!$G$5:$G$2000)</f>
        <v/>
      </c>
      <c r="AE8" s="12">
        <f>AC8-AD8</f>
        <v/>
      </c>
      <c r="AF8" s="10" t="n">
        <v>0</v>
      </c>
      <c r="AG8" s="11">
        <f>SUMPRODUCT((Lançamentos!$C$5:$C$2000=$A8)*(Lançamentos!$E$5:$E$2000="Despesa")*(YEAR(Lançamentos!$A$5:$A$2000)=$B$3)*(MONTH(Lançamentos!$A$5:$A$2000)=11)*Lançamentos!$G$5:$G$2000)</f>
        <v/>
      </c>
      <c r="AH8" s="12">
        <f>AF8-AG8</f>
        <v/>
      </c>
      <c r="AI8" s="10" t="n">
        <v>0</v>
      </c>
      <c r="AJ8" s="11">
        <f>SUMPRODUCT((Lançamentos!$C$5:$C$2000=$A8)*(Lançamentos!$E$5:$E$2000="Despesa")*(YEAR(Lançamentos!$A$5:$A$2000)=$B$3)*(MONTH(Lançamentos!$A$5:$A$2000)=12)*Lançamentos!$G$5:$G$2000)</f>
        <v/>
      </c>
      <c r="AK8" s="12">
        <f>AI8-AJ8</f>
        <v/>
      </c>
    </row>
    <row r="9">
      <c r="A9" s="9" t="inlineStr">
        <is>
          <t>Educação</t>
        </is>
      </c>
      <c r="B9" s="10" t="n">
        <v>0</v>
      </c>
      <c r="C9" s="11">
        <f>SUMPRODUCT((Lançamentos!$C$5:$C$2000=$A9)*(Lançamentos!$E$5:$E$2000="Despesa")*(YEAR(Lançamentos!$A$5:$A$2000)=$B$3)*(MONTH(Lançamentos!$A$5:$A$2000)=1)*Lançamentos!$G$5:$G$2000)</f>
        <v/>
      </c>
      <c r="D9" s="12">
        <f>B9-C9</f>
        <v/>
      </c>
      <c r="E9" s="10" t="n">
        <v>0</v>
      </c>
      <c r="F9" s="11">
        <f>SUMPRODUCT((Lançamentos!$C$5:$C$2000=$A9)*(Lançamentos!$E$5:$E$2000="Despesa")*(YEAR(Lançamentos!$A$5:$A$2000)=$B$3)*(MONTH(Lançamentos!$A$5:$A$2000)=2)*Lançamentos!$G$5:$G$2000)</f>
        <v/>
      </c>
      <c r="G9" s="12">
        <f>E9-F9</f>
        <v/>
      </c>
      <c r="H9" s="10" t="n">
        <v>0</v>
      </c>
      <c r="I9" s="11">
        <f>SUMPRODUCT((Lançamentos!$C$5:$C$2000=$A9)*(Lançamentos!$E$5:$E$2000="Despesa")*(YEAR(Lançamentos!$A$5:$A$2000)=$B$3)*(MONTH(Lançamentos!$A$5:$A$2000)=3)*Lançamentos!$G$5:$G$2000)</f>
        <v/>
      </c>
      <c r="J9" s="12">
        <f>H9-I9</f>
        <v/>
      </c>
      <c r="K9" s="10" t="n">
        <v>0</v>
      </c>
      <c r="L9" s="11">
        <f>SUMPRODUCT((Lançamentos!$C$5:$C$2000=$A9)*(Lançamentos!$E$5:$E$2000="Despesa")*(YEAR(Lançamentos!$A$5:$A$2000)=$B$3)*(MONTH(Lançamentos!$A$5:$A$2000)=4)*Lançamentos!$G$5:$G$2000)</f>
        <v/>
      </c>
      <c r="M9" s="12">
        <f>K9-L9</f>
        <v/>
      </c>
      <c r="N9" s="10" t="n">
        <v>0</v>
      </c>
      <c r="O9" s="11">
        <f>SUMPRODUCT((Lançamentos!$C$5:$C$2000=$A9)*(Lançamentos!$E$5:$E$2000="Despesa")*(YEAR(Lançamentos!$A$5:$A$2000)=$B$3)*(MONTH(Lançamentos!$A$5:$A$2000)=5)*Lançamentos!$G$5:$G$2000)</f>
        <v/>
      </c>
      <c r="P9" s="12">
        <f>N9-O9</f>
        <v/>
      </c>
      <c r="Q9" s="10" t="n">
        <v>0</v>
      </c>
      <c r="R9" s="11">
        <f>SUMPRODUCT((Lançamentos!$C$5:$C$2000=$A9)*(Lançamentos!$E$5:$E$2000="Despesa")*(YEAR(Lançamentos!$A$5:$A$2000)=$B$3)*(MONTH(Lançamentos!$A$5:$A$2000)=6)*Lançamentos!$G$5:$G$2000)</f>
        <v/>
      </c>
      <c r="S9" s="12">
        <f>Q9-R9</f>
        <v/>
      </c>
      <c r="T9" s="10" t="n">
        <v>0</v>
      </c>
      <c r="U9" s="11">
        <f>SUMPRODUCT((Lançamentos!$C$5:$C$2000=$A9)*(Lançamentos!$E$5:$E$2000="Despesa")*(YEAR(Lançamentos!$A$5:$A$2000)=$B$3)*(MONTH(Lançamentos!$A$5:$A$2000)=7)*Lançamentos!$G$5:$G$2000)</f>
        <v/>
      </c>
      <c r="V9" s="12">
        <f>T9-U9</f>
        <v/>
      </c>
      <c r="W9" s="10" t="n">
        <v>0</v>
      </c>
      <c r="X9" s="11">
        <f>SUMPRODUCT((Lançamentos!$C$5:$C$2000=$A9)*(Lançamentos!$E$5:$E$2000="Despesa")*(YEAR(Lançamentos!$A$5:$A$2000)=$B$3)*(MONTH(Lançamentos!$A$5:$A$2000)=8)*Lançamentos!$G$5:$G$2000)</f>
        <v/>
      </c>
      <c r="Y9" s="12">
        <f>W9-X9</f>
        <v/>
      </c>
      <c r="Z9" s="10" t="n">
        <v>0</v>
      </c>
      <c r="AA9" s="11">
        <f>SUMPRODUCT((Lançamentos!$C$5:$C$2000=$A9)*(Lançamentos!$E$5:$E$2000="Despesa")*(YEAR(Lançamentos!$A$5:$A$2000)=$B$3)*(MONTH(Lançamentos!$A$5:$A$2000)=9)*Lançamentos!$G$5:$G$2000)</f>
        <v/>
      </c>
      <c r="AB9" s="12">
        <f>Z9-AA9</f>
        <v/>
      </c>
      <c r="AC9" s="10" t="n">
        <v>0</v>
      </c>
      <c r="AD9" s="11">
        <f>SUMPRODUCT((Lançamentos!$C$5:$C$2000=$A9)*(Lançamentos!$E$5:$E$2000="Despesa")*(YEAR(Lançamentos!$A$5:$A$2000)=$B$3)*(MONTH(Lançamentos!$A$5:$A$2000)=10)*Lançamentos!$G$5:$G$2000)</f>
        <v/>
      </c>
      <c r="AE9" s="12">
        <f>AC9-AD9</f>
        <v/>
      </c>
      <c r="AF9" s="10" t="n">
        <v>0</v>
      </c>
      <c r="AG9" s="11">
        <f>SUMPRODUCT((Lançamentos!$C$5:$C$2000=$A9)*(Lançamentos!$E$5:$E$2000="Despesa")*(YEAR(Lançamentos!$A$5:$A$2000)=$B$3)*(MONTH(Lançamentos!$A$5:$A$2000)=11)*Lançamentos!$G$5:$G$2000)</f>
        <v/>
      </c>
      <c r="AH9" s="12">
        <f>AF9-AG9</f>
        <v/>
      </c>
      <c r="AI9" s="10" t="n">
        <v>0</v>
      </c>
      <c r="AJ9" s="11">
        <f>SUMPRODUCT((Lançamentos!$C$5:$C$2000=$A9)*(Lançamentos!$E$5:$E$2000="Despesa")*(YEAR(Lançamentos!$A$5:$A$2000)=$B$3)*(MONTH(Lançamentos!$A$5:$A$2000)=12)*Lançamentos!$G$5:$G$2000)</f>
        <v/>
      </c>
      <c r="AK9" s="12">
        <f>AI9-AJ9</f>
        <v/>
      </c>
    </row>
    <row r="10">
      <c r="A10" s="9" t="inlineStr">
        <is>
          <t>Investimentos</t>
        </is>
      </c>
      <c r="B10" s="10" t="n">
        <v>0</v>
      </c>
      <c r="C10" s="11">
        <f>SUMPRODUCT((Lançamentos!$C$5:$C$2000=$A10)*(Lançamentos!$E$5:$E$2000="Despesa")*(YEAR(Lançamentos!$A$5:$A$2000)=$B$3)*(MONTH(Lançamentos!$A$5:$A$2000)=1)*Lançamentos!$G$5:$G$2000)</f>
        <v/>
      </c>
      <c r="D10" s="12">
        <f>B10-C10</f>
        <v/>
      </c>
      <c r="E10" s="10" t="n">
        <v>0</v>
      </c>
      <c r="F10" s="11">
        <f>SUMPRODUCT((Lançamentos!$C$5:$C$2000=$A10)*(Lançamentos!$E$5:$E$2000="Despesa")*(YEAR(Lançamentos!$A$5:$A$2000)=$B$3)*(MONTH(Lançamentos!$A$5:$A$2000)=2)*Lançamentos!$G$5:$G$2000)</f>
        <v/>
      </c>
      <c r="G10" s="12">
        <f>E10-F10</f>
        <v/>
      </c>
      <c r="H10" s="10" t="n">
        <v>0</v>
      </c>
      <c r="I10" s="11">
        <f>SUMPRODUCT((Lançamentos!$C$5:$C$2000=$A10)*(Lançamentos!$E$5:$E$2000="Despesa")*(YEAR(Lançamentos!$A$5:$A$2000)=$B$3)*(MONTH(Lançamentos!$A$5:$A$2000)=3)*Lançamentos!$G$5:$G$2000)</f>
        <v/>
      </c>
      <c r="J10" s="12">
        <f>H10-I10</f>
        <v/>
      </c>
      <c r="K10" s="10" t="n">
        <v>0</v>
      </c>
      <c r="L10" s="11">
        <f>SUMPRODUCT((Lançamentos!$C$5:$C$2000=$A10)*(Lançamentos!$E$5:$E$2000="Despesa")*(YEAR(Lançamentos!$A$5:$A$2000)=$B$3)*(MONTH(Lançamentos!$A$5:$A$2000)=4)*Lançamentos!$G$5:$G$2000)</f>
        <v/>
      </c>
      <c r="M10" s="12">
        <f>K10-L10</f>
        <v/>
      </c>
      <c r="N10" s="10" t="n">
        <v>0</v>
      </c>
      <c r="O10" s="11">
        <f>SUMPRODUCT((Lançamentos!$C$5:$C$2000=$A10)*(Lançamentos!$E$5:$E$2000="Despesa")*(YEAR(Lançamentos!$A$5:$A$2000)=$B$3)*(MONTH(Lançamentos!$A$5:$A$2000)=5)*Lançamentos!$G$5:$G$2000)</f>
        <v/>
      </c>
      <c r="P10" s="12">
        <f>N10-O10</f>
        <v/>
      </c>
      <c r="Q10" s="10" t="n">
        <v>0</v>
      </c>
      <c r="R10" s="11">
        <f>SUMPRODUCT((Lançamentos!$C$5:$C$2000=$A10)*(Lançamentos!$E$5:$E$2000="Despesa")*(YEAR(Lançamentos!$A$5:$A$2000)=$B$3)*(MONTH(Lançamentos!$A$5:$A$2000)=6)*Lançamentos!$G$5:$G$2000)</f>
        <v/>
      </c>
      <c r="S10" s="12">
        <f>Q10-R10</f>
        <v/>
      </c>
      <c r="T10" s="10" t="n">
        <v>0</v>
      </c>
      <c r="U10" s="11">
        <f>SUMPRODUCT((Lançamentos!$C$5:$C$2000=$A10)*(Lançamentos!$E$5:$E$2000="Despesa")*(YEAR(Lançamentos!$A$5:$A$2000)=$B$3)*(MONTH(Lançamentos!$A$5:$A$2000)=7)*Lançamentos!$G$5:$G$2000)</f>
        <v/>
      </c>
      <c r="V10" s="12">
        <f>T10-U10</f>
        <v/>
      </c>
      <c r="W10" s="10" t="n">
        <v>0</v>
      </c>
      <c r="X10" s="11">
        <f>SUMPRODUCT((Lançamentos!$C$5:$C$2000=$A10)*(Lançamentos!$E$5:$E$2000="Despesa")*(YEAR(Lançamentos!$A$5:$A$2000)=$B$3)*(MONTH(Lançamentos!$A$5:$A$2000)=8)*Lançamentos!$G$5:$G$2000)</f>
        <v/>
      </c>
      <c r="Y10" s="12">
        <f>W10-X10</f>
        <v/>
      </c>
      <c r="Z10" s="10" t="n">
        <v>0</v>
      </c>
      <c r="AA10" s="11">
        <f>SUMPRODUCT((Lançamentos!$C$5:$C$2000=$A10)*(Lançamentos!$E$5:$E$2000="Despesa")*(YEAR(Lançamentos!$A$5:$A$2000)=$B$3)*(MONTH(Lançamentos!$A$5:$A$2000)=9)*Lançamentos!$G$5:$G$2000)</f>
        <v/>
      </c>
      <c r="AB10" s="12">
        <f>Z10-AA10</f>
        <v/>
      </c>
      <c r="AC10" s="10" t="n">
        <v>0</v>
      </c>
      <c r="AD10" s="11">
        <f>SUMPRODUCT((Lançamentos!$C$5:$C$2000=$A10)*(Lançamentos!$E$5:$E$2000="Despesa")*(YEAR(Lançamentos!$A$5:$A$2000)=$B$3)*(MONTH(Lançamentos!$A$5:$A$2000)=10)*Lançamentos!$G$5:$G$2000)</f>
        <v/>
      </c>
      <c r="AE10" s="12">
        <f>AC10-AD10</f>
        <v/>
      </c>
      <c r="AF10" s="10" t="n">
        <v>0</v>
      </c>
      <c r="AG10" s="11">
        <f>SUMPRODUCT((Lançamentos!$C$5:$C$2000=$A10)*(Lançamentos!$E$5:$E$2000="Despesa")*(YEAR(Lançamentos!$A$5:$A$2000)=$B$3)*(MONTH(Lançamentos!$A$5:$A$2000)=11)*Lançamentos!$G$5:$G$2000)</f>
        <v/>
      </c>
      <c r="AH10" s="12">
        <f>AF10-AG10</f>
        <v/>
      </c>
      <c r="AI10" s="10" t="n">
        <v>0</v>
      </c>
      <c r="AJ10" s="11">
        <f>SUMPRODUCT((Lançamentos!$C$5:$C$2000=$A10)*(Lançamentos!$E$5:$E$2000="Despesa")*(YEAR(Lançamentos!$A$5:$A$2000)=$B$3)*(MONTH(Lançamentos!$A$5:$A$2000)=12)*Lançamentos!$G$5:$G$2000)</f>
        <v/>
      </c>
      <c r="AK10" s="12">
        <f>AI10-AJ10</f>
        <v/>
      </c>
    </row>
    <row r="11">
      <c r="A11" s="9" t="inlineStr">
        <is>
          <t>Lazer</t>
        </is>
      </c>
      <c r="B11" s="10" t="n">
        <v>0</v>
      </c>
      <c r="C11" s="11">
        <f>SUMPRODUCT((Lançamentos!$C$5:$C$2000=$A11)*(Lançamentos!$E$5:$E$2000="Despesa")*(YEAR(Lançamentos!$A$5:$A$2000)=$B$3)*(MONTH(Lançamentos!$A$5:$A$2000)=1)*Lançamentos!$G$5:$G$2000)</f>
        <v/>
      </c>
      <c r="D11" s="12">
        <f>B11-C11</f>
        <v/>
      </c>
      <c r="E11" s="10" t="n">
        <v>0</v>
      </c>
      <c r="F11" s="11">
        <f>SUMPRODUCT((Lançamentos!$C$5:$C$2000=$A11)*(Lançamentos!$E$5:$E$2000="Despesa")*(YEAR(Lançamentos!$A$5:$A$2000)=$B$3)*(MONTH(Lançamentos!$A$5:$A$2000)=2)*Lançamentos!$G$5:$G$2000)</f>
        <v/>
      </c>
      <c r="G11" s="12">
        <f>E11-F11</f>
        <v/>
      </c>
      <c r="H11" s="10" t="n">
        <v>0</v>
      </c>
      <c r="I11" s="11">
        <f>SUMPRODUCT((Lançamentos!$C$5:$C$2000=$A11)*(Lançamentos!$E$5:$E$2000="Despesa")*(YEAR(Lançamentos!$A$5:$A$2000)=$B$3)*(MONTH(Lançamentos!$A$5:$A$2000)=3)*Lançamentos!$G$5:$G$2000)</f>
        <v/>
      </c>
      <c r="J11" s="12">
        <f>H11-I11</f>
        <v/>
      </c>
      <c r="K11" s="10" t="n">
        <v>0</v>
      </c>
      <c r="L11" s="11">
        <f>SUMPRODUCT((Lançamentos!$C$5:$C$2000=$A11)*(Lançamentos!$E$5:$E$2000="Despesa")*(YEAR(Lançamentos!$A$5:$A$2000)=$B$3)*(MONTH(Lançamentos!$A$5:$A$2000)=4)*Lançamentos!$G$5:$G$2000)</f>
        <v/>
      </c>
      <c r="M11" s="12">
        <f>K11-L11</f>
        <v/>
      </c>
      <c r="N11" s="10" t="n">
        <v>0</v>
      </c>
      <c r="O11" s="11">
        <f>SUMPRODUCT((Lançamentos!$C$5:$C$2000=$A11)*(Lançamentos!$E$5:$E$2000="Despesa")*(YEAR(Lançamentos!$A$5:$A$2000)=$B$3)*(MONTH(Lançamentos!$A$5:$A$2000)=5)*Lançamentos!$G$5:$G$2000)</f>
        <v/>
      </c>
      <c r="P11" s="12">
        <f>N11-O11</f>
        <v/>
      </c>
      <c r="Q11" s="10" t="n">
        <v>0</v>
      </c>
      <c r="R11" s="11">
        <f>SUMPRODUCT((Lançamentos!$C$5:$C$2000=$A11)*(Lançamentos!$E$5:$E$2000="Despesa")*(YEAR(Lançamentos!$A$5:$A$2000)=$B$3)*(MONTH(Lançamentos!$A$5:$A$2000)=6)*Lançamentos!$G$5:$G$2000)</f>
        <v/>
      </c>
      <c r="S11" s="12">
        <f>Q11-R11</f>
        <v/>
      </c>
      <c r="T11" s="10" t="n">
        <v>0</v>
      </c>
      <c r="U11" s="11">
        <f>SUMPRODUCT((Lançamentos!$C$5:$C$2000=$A11)*(Lançamentos!$E$5:$E$2000="Despesa")*(YEAR(Lançamentos!$A$5:$A$2000)=$B$3)*(MONTH(Lançamentos!$A$5:$A$2000)=7)*Lançamentos!$G$5:$G$2000)</f>
        <v/>
      </c>
      <c r="V11" s="12">
        <f>T11-U11</f>
        <v/>
      </c>
      <c r="W11" s="10" t="n">
        <v>0</v>
      </c>
      <c r="X11" s="11">
        <f>SUMPRODUCT((Lançamentos!$C$5:$C$2000=$A11)*(Lançamentos!$E$5:$E$2000="Despesa")*(YEAR(Lançamentos!$A$5:$A$2000)=$B$3)*(MONTH(Lançamentos!$A$5:$A$2000)=8)*Lançamentos!$G$5:$G$2000)</f>
        <v/>
      </c>
      <c r="Y11" s="12">
        <f>W11-X11</f>
        <v/>
      </c>
      <c r="Z11" s="10" t="n">
        <v>0</v>
      </c>
      <c r="AA11" s="11">
        <f>SUMPRODUCT((Lançamentos!$C$5:$C$2000=$A11)*(Lançamentos!$E$5:$E$2000="Despesa")*(YEAR(Lançamentos!$A$5:$A$2000)=$B$3)*(MONTH(Lançamentos!$A$5:$A$2000)=9)*Lançamentos!$G$5:$G$2000)</f>
        <v/>
      </c>
      <c r="AB11" s="12">
        <f>Z11-AA11</f>
        <v/>
      </c>
      <c r="AC11" s="10" t="n">
        <v>0</v>
      </c>
      <c r="AD11" s="11">
        <f>SUMPRODUCT((Lançamentos!$C$5:$C$2000=$A11)*(Lançamentos!$E$5:$E$2000="Despesa")*(YEAR(Lançamentos!$A$5:$A$2000)=$B$3)*(MONTH(Lançamentos!$A$5:$A$2000)=10)*Lançamentos!$G$5:$G$2000)</f>
        <v/>
      </c>
      <c r="AE11" s="12">
        <f>AC11-AD11</f>
        <v/>
      </c>
      <c r="AF11" s="10" t="n">
        <v>0</v>
      </c>
      <c r="AG11" s="11">
        <f>SUMPRODUCT((Lançamentos!$C$5:$C$2000=$A11)*(Lançamentos!$E$5:$E$2000="Despesa")*(YEAR(Lançamentos!$A$5:$A$2000)=$B$3)*(MONTH(Lançamentos!$A$5:$A$2000)=11)*Lançamentos!$G$5:$G$2000)</f>
        <v/>
      </c>
      <c r="AH11" s="12">
        <f>AF11-AG11</f>
        <v/>
      </c>
      <c r="AI11" s="10" t="n">
        <v>0</v>
      </c>
      <c r="AJ11" s="11">
        <f>SUMPRODUCT((Lançamentos!$C$5:$C$2000=$A11)*(Lançamentos!$E$5:$E$2000="Despesa")*(YEAR(Lançamentos!$A$5:$A$2000)=$B$3)*(MONTH(Lançamentos!$A$5:$A$2000)=12)*Lançamentos!$G$5:$G$2000)</f>
        <v/>
      </c>
      <c r="AK11" s="12">
        <f>AI11-AJ11</f>
        <v/>
      </c>
    </row>
    <row r="12">
      <c r="A12" s="9" t="inlineStr">
        <is>
          <t>Moradia</t>
        </is>
      </c>
      <c r="B12" s="10" t="n">
        <v>0</v>
      </c>
      <c r="C12" s="11">
        <f>SUMPRODUCT((Lançamentos!$C$5:$C$2000=$A12)*(Lançamentos!$E$5:$E$2000="Despesa")*(YEAR(Lançamentos!$A$5:$A$2000)=$B$3)*(MONTH(Lançamentos!$A$5:$A$2000)=1)*Lançamentos!$G$5:$G$2000)</f>
        <v/>
      </c>
      <c r="D12" s="12">
        <f>B12-C12</f>
        <v/>
      </c>
      <c r="E12" s="10" t="n">
        <v>0</v>
      </c>
      <c r="F12" s="11">
        <f>SUMPRODUCT((Lançamentos!$C$5:$C$2000=$A12)*(Lançamentos!$E$5:$E$2000="Despesa")*(YEAR(Lançamentos!$A$5:$A$2000)=$B$3)*(MONTH(Lançamentos!$A$5:$A$2000)=2)*Lançamentos!$G$5:$G$2000)</f>
        <v/>
      </c>
      <c r="G12" s="12">
        <f>E12-F12</f>
        <v/>
      </c>
      <c r="H12" s="10" t="n">
        <v>0</v>
      </c>
      <c r="I12" s="11">
        <f>SUMPRODUCT((Lançamentos!$C$5:$C$2000=$A12)*(Lançamentos!$E$5:$E$2000="Despesa")*(YEAR(Lançamentos!$A$5:$A$2000)=$B$3)*(MONTH(Lançamentos!$A$5:$A$2000)=3)*Lançamentos!$G$5:$G$2000)</f>
        <v/>
      </c>
      <c r="J12" s="12">
        <f>H12-I12</f>
        <v/>
      </c>
      <c r="K12" s="10" t="n">
        <v>0</v>
      </c>
      <c r="L12" s="11">
        <f>SUMPRODUCT((Lançamentos!$C$5:$C$2000=$A12)*(Lançamentos!$E$5:$E$2000="Despesa")*(YEAR(Lançamentos!$A$5:$A$2000)=$B$3)*(MONTH(Lançamentos!$A$5:$A$2000)=4)*Lançamentos!$G$5:$G$2000)</f>
        <v/>
      </c>
      <c r="M12" s="12">
        <f>K12-L12</f>
        <v/>
      </c>
      <c r="N12" s="10" t="n">
        <v>0</v>
      </c>
      <c r="O12" s="11">
        <f>SUMPRODUCT((Lançamentos!$C$5:$C$2000=$A12)*(Lançamentos!$E$5:$E$2000="Despesa")*(YEAR(Lançamentos!$A$5:$A$2000)=$B$3)*(MONTH(Lançamentos!$A$5:$A$2000)=5)*Lançamentos!$G$5:$G$2000)</f>
        <v/>
      </c>
      <c r="P12" s="12">
        <f>N12-O12</f>
        <v/>
      </c>
      <c r="Q12" s="10" t="n">
        <v>0</v>
      </c>
      <c r="R12" s="11">
        <f>SUMPRODUCT((Lançamentos!$C$5:$C$2000=$A12)*(Lançamentos!$E$5:$E$2000="Despesa")*(YEAR(Lançamentos!$A$5:$A$2000)=$B$3)*(MONTH(Lançamentos!$A$5:$A$2000)=6)*Lançamentos!$G$5:$G$2000)</f>
        <v/>
      </c>
      <c r="S12" s="12">
        <f>Q12-R12</f>
        <v/>
      </c>
      <c r="T12" s="10" t="n">
        <v>0</v>
      </c>
      <c r="U12" s="11">
        <f>SUMPRODUCT((Lançamentos!$C$5:$C$2000=$A12)*(Lançamentos!$E$5:$E$2000="Despesa")*(YEAR(Lançamentos!$A$5:$A$2000)=$B$3)*(MONTH(Lançamentos!$A$5:$A$2000)=7)*Lançamentos!$G$5:$G$2000)</f>
        <v/>
      </c>
      <c r="V12" s="12">
        <f>T12-U12</f>
        <v/>
      </c>
      <c r="W12" s="10" t="n">
        <v>0</v>
      </c>
      <c r="X12" s="11">
        <f>SUMPRODUCT((Lançamentos!$C$5:$C$2000=$A12)*(Lançamentos!$E$5:$E$2000="Despesa")*(YEAR(Lançamentos!$A$5:$A$2000)=$B$3)*(MONTH(Lançamentos!$A$5:$A$2000)=8)*Lançamentos!$G$5:$G$2000)</f>
        <v/>
      </c>
      <c r="Y12" s="12">
        <f>W12-X12</f>
        <v/>
      </c>
      <c r="Z12" s="10" t="n">
        <v>0</v>
      </c>
      <c r="AA12" s="11">
        <f>SUMPRODUCT((Lançamentos!$C$5:$C$2000=$A12)*(Lançamentos!$E$5:$E$2000="Despesa")*(YEAR(Lançamentos!$A$5:$A$2000)=$B$3)*(MONTH(Lançamentos!$A$5:$A$2000)=9)*Lançamentos!$G$5:$G$2000)</f>
        <v/>
      </c>
      <c r="AB12" s="12">
        <f>Z12-AA12</f>
        <v/>
      </c>
      <c r="AC12" s="10" t="n">
        <v>0</v>
      </c>
      <c r="AD12" s="11">
        <f>SUMPRODUCT((Lançamentos!$C$5:$C$2000=$A12)*(Lançamentos!$E$5:$E$2000="Despesa")*(YEAR(Lançamentos!$A$5:$A$2000)=$B$3)*(MONTH(Lançamentos!$A$5:$A$2000)=10)*Lançamentos!$G$5:$G$2000)</f>
        <v/>
      </c>
      <c r="AE12" s="12">
        <f>AC12-AD12</f>
        <v/>
      </c>
      <c r="AF12" s="10" t="n">
        <v>0</v>
      </c>
      <c r="AG12" s="11">
        <f>SUMPRODUCT((Lançamentos!$C$5:$C$2000=$A12)*(Lançamentos!$E$5:$E$2000="Despesa")*(YEAR(Lançamentos!$A$5:$A$2000)=$B$3)*(MONTH(Lançamentos!$A$5:$A$2000)=11)*Lançamentos!$G$5:$G$2000)</f>
        <v/>
      </c>
      <c r="AH12" s="12">
        <f>AF12-AG12</f>
        <v/>
      </c>
      <c r="AI12" s="10" t="n">
        <v>0</v>
      </c>
      <c r="AJ12" s="11">
        <f>SUMPRODUCT((Lançamentos!$C$5:$C$2000=$A12)*(Lançamentos!$E$5:$E$2000="Despesa")*(YEAR(Lançamentos!$A$5:$A$2000)=$B$3)*(MONTH(Lançamentos!$A$5:$A$2000)=12)*Lançamentos!$G$5:$G$2000)</f>
        <v/>
      </c>
      <c r="AK12" s="12">
        <f>AI12-AJ12</f>
        <v/>
      </c>
    </row>
    <row r="13">
      <c r="A13" s="9" t="inlineStr">
        <is>
          <t>Outros</t>
        </is>
      </c>
      <c r="B13" s="10" t="n">
        <v>0</v>
      </c>
      <c r="C13" s="11">
        <f>SUMPRODUCT((Lançamentos!$C$5:$C$2000=$A13)*(Lançamentos!$E$5:$E$2000="Despesa")*(YEAR(Lançamentos!$A$5:$A$2000)=$B$3)*(MONTH(Lançamentos!$A$5:$A$2000)=1)*Lançamentos!$G$5:$G$2000)</f>
        <v/>
      </c>
      <c r="D13" s="12">
        <f>B13-C13</f>
        <v/>
      </c>
      <c r="E13" s="10" t="n">
        <v>0</v>
      </c>
      <c r="F13" s="11">
        <f>SUMPRODUCT((Lançamentos!$C$5:$C$2000=$A13)*(Lançamentos!$E$5:$E$2000="Despesa")*(YEAR(Lançamentos!$A$5:$A$2000)=$B$3)*(MONTH(Lançamentos!$A$5:$A$2000)=2)*Lançamentos!$G$5:$G$2000)</f>
        <v/>
      </c>
      <c r="G13" s="12">
        <f>E13-F13</f>
        <v/>
      </c>
      <c r="H13" s="10" t="n">
        <v>0</v>
      </c>
      <c r="I13" s="11">
        <f>SUMPRODUCT((Lançamentos!$C$5:$C$2000=$A13)*(Lançamentos!$E$5:$E$2000="Despesa")*(YEAR(Lançamentos!$A$5:$A$2000)=$B$3)*(MONTH(Lançamentos!$A$5:$A$2000)=3)*Lançamentos!$G$5:$G$2000)</f>
        <v/>
      </c>
      <c r="J13" s="12">
        <f>H13-I13</f>
        <v/>
      </c>
      <c r="K13" s="10" t="n">
        <v>0</v>
      </c>
      <c r="L13" s="11">
        <f>SUMPRODUCT((Lançamentos!$C$5:$C$2000=$A13)*(Lançamentos!$E$5:$E$2000="Despesa")*(YEAR(Lançamentos!$A$5:$A$2000)=$B$3)*(MONTH(Lançamentos!$A$5:$A$2000)=4)*Lançamentos!$G$5:$G$2000)</f>
        <v/>
      </c>
      <c r="M13" s="12">
        <f>K13-L13</f>
        <v/>
      </c>
      <c r="N13" s="10" t="n">
        <v>0</v>
      </c>
      <c r="O13" s="11">
        <f>SUMPRODUCT((Lançamentos!$C$5:$C$2000=$A13)*(Lançamentos!$E$5:$E$2000="Despesa")*(YEAR(Lançamentos!$A$5:$A$2000)=$B$3)*(MONTH(Lançamentos!$A$5:$A$2000)=5)*Lançamentos!$G$5:$G$2000)</f>
        <v/>
      </c>
      <c r="P13" s="12">
        <f>N13-O13</f>
        <v/>
      </c>
      <c r="Q13" s="10" t="n">
        <v>0</v>
      </c>
      <c r="R13" s="11">
        <f>SUMPRODUCT((Lançamentos!$C$5:$C$2000=$A13)*(Lançamentos!$E$5:$E$2000="Despesa")*(YEAR(Lançamentos!$A$5:$A$2000)=$B$3)*(MONTH(Lançamentos!$A$5:$A$2000)=6)*Lançamentos!$G$5:$G$2000)</f>
        <v/>
      </c>
      <c r="S13" s="12">
        <f>Q13-R13</f>
        <v/>
      </c>
      <c r="T13" s="10" t="n">
        <v>0</v>
      </c>
      <c r="U13" s="11">
        <f>SUMPRODUCT((Lançamentos!$C$5:$C$2000=$A13)*(Lançamentos!$E$5:$E$2000="Despesa")*(YEAR(Lançamentos!$A$5:$A$2000)=$B$3)*(MONTH(Lançamentos!$A$5:$A$2000)=7)*Lançamentos!$G$5:$G$2000)</f>
        <v/>
      </c>
      <c r="V13" s="12">
        <f>T13-U13</f>
        <v/>
      </c>
      <c r="W13" s="10" t="n">
        <v>0</v>
      </c>
      <c r="X13" s="11">
        <f>SUMPRODUCT((Lançamentos!$C$5:$C$2000=$A13)*(Lançamentos!$E$5:$E$2000="Despesa")*(YEAR(Lançamentos!$A$5:$A$2000)=$B$3)*(MONTH(Lançamentos!$A$5:$A$2000)=8)*Lançamentos!$G$5:$G$2000)</f>
        <v/>
      </c>
      <c r="Y13" s="12">
        <f>W13-X13</f>
        <v/>
      </c>
      <c r="Z13" s="10" t="n">
        <v>0</v>
      </c>
      <c r="AA13" s="11">
        <f>SUMPRODUCT((Lançamentos!$C$5:$C$2000=$A13)*(Lançamentos!$E$5:$E$2000="Despesa")*(YEAR(Lançamentos!$A$5:$A$2000)=$B$3)*(MONTH(Lançamentos!$A$5:$A$2000)=9)*Lançamentos!$G$5:$G$2000)</f>
        <v/>
      </c>
      <c r="AB13" s="12">
        <f>Z13-AA13</f>
        <v/>
      </c>
      <c r="AC13" s="10" t="n">
        <v>0</v>
      </c>
      <c r="AD13" s="11">
        <f>SUMPRODUCT((Lançamentos!$C$5:$C$2000=$A13)*(Lançamentos!$E$5:$E$2000="Despesa")*(YEAR(Lançamentos!$A$5:$A$2000)=$B$3)*(MONTH(Lançamentos!$A$5:$A$2000)=10)*Lançamentos!$G$5:$G$2000)</f>
        <v/>
      </c>
      <c r="AE13" s="12">
        <f>AC13-AD13</f>
        <v/>
      </c>
      <c r="AF13" s="10" t="n">
        <v>0</v>
      </c>
      <c r="AG13" s="11">
        <f>SUMPRODUCT((Lançamentos!$C$5:$C$2000=$A13)*(Lançamentos!$E$5:$E$2000="Despesa")*(YEAR(Lançamentos!$A$5:$A$2000)=$B$3)*(MONTH(Lançamentos!$A$5:$A$2000)=11)*Lançamentos!$G$5:$G$2000)</f>
        <v/>
      </c>
      <c r="AH13" s="12">
        <f>AF13-AG13</f>
        <v/>
      </c>
      <c r="AI13" s="10" t="n">
        <v>0</v>
      </c>
      <c r="AJ13" s="11">
        <f>SUMPRODUCT((Lançamentos!$C$5:$C$2000=$A13)*(Lançamentos!$E$5:$E$2000="Despesa")*(YEAR(Lançamentos!$A$5:$A$2000)=$B$3)*(MONTH(Lançamentos!$A$5:$A$2000)=12)*Lançamentos!$G$5:$G$2000)</f>
        <v/>
      </c>
      <c r="AK13" s="12">
        <f>AI13-AJ13</f>
        <v/>
      </c>
    </row>
    <row r="14">
      <c r="A14" s="9" t="inlineStr">
        <is>
          <t>Saúde</t>
        </is>
      </c>
      <c r="B14" s="10" t="n">
        <v>0</v>
      </c>
      <c r="C14" s="11">
        <f>SUMPRODUCT((Lançamentos!$C$5:$C$2000=$A14)*(Lançamentos!$E$5:$E$2000="Despesa")*(YEAR(Lançamentos!$A$5:$A$2000)=$B$3)*(MONTH(Lançamentos!$A$5:$A$2000)=1)*Lançamentos!$G$5:$G$2000)</f>
        <v/>
      </c>
      <c r="D14" s="12">
        <f>B14-C14</f>
        <v/>
      </c>
      <c r="E14" s="10" t="n">
        <v>0</v>
      </c>
      <c r="F14" s="11">
        <f>SUMPRODUCT((Lançamentos!$C$5:$C$2000=$A14)*(Lançamentos!$E$5:$E$2000="Despesa")*(YEAR(Lançamentos!$A$5:$A$2000)=$B$3)*(MONTH(Lançamentos!$A$5:$A$2000)=2)*Lançamentos!$G$5:$G$2000)</f>
        <v/>
      </c>
      <c r="G14" s="12">
        <f>E14-F14</f>
        <v/>
      </c>
      <c r="H14" s="10" t="n">
        <v>0</v>
      </c>
      <c r="I14" s="11">
        <f>SUMPRODUCT((Lançamentos!$C$5:$C$2000=$A14)*(Lançamentos!$E$5:$E$2000="Despesa")*(YEAR(Lançamentos!$A$5:$A$2000)=$B$3)*(MONTH(Lançamentos!$A$5:$A$2000)=3)*Lançamentos!$G$5:$G$2000)</f>
        <v/>
      </c>
      <c r="J14" s="12">
        <f>H14-I14</f>
        <v/>
      </c>
      <c r="K14" s="10" t="n">
        <v>0</v>
      </c>
      <c r="L14" s="11">
        <f>SUMPRODUCT((Lançamentos!$C$5:$C$2000=$A14)*(Lançamentos!$E$5:$E$2000="Despesa")*(YEAR(Lançamentos!$A$5:$A$2000)=$B$3)*(MONTH(Lançamentos!$A$5:$A$2000)=4)*Lançamentos!$G$5:$G$2000)</f>
        <v/>
      </c>
      <c r="M14" s="12">
        <f>K14-L14</f>
        <v/>
      </c>
      <c r="N14" s="10" t="n">
        <v>0</v>
      </c>
      <c r="O14" s="11">
        <f>SUMPRODUCT((Lançamentos!$C$5:$C$2000=$A14)*(Lançamentos!$E$5:$E$2000="Despesa")*(YEAR(Lançamentos!$A$5:$A$2000)=$B$3)*(MONTH(Lançamentos!$A$5:$A$2000)=5)*Lançamentos!$G$5:$G$2000)</f>
        <v/>
      </c>
      <c r="P14" s="12">
        <f>N14-O14</f>
        <v/>
      </c>
      <c r="Q14" s="10" t="n">
        <v>0</v>
      </c>
      <c r="R14" s="11">
        <f>SUMPRODUCT((Lançamentos!$C$5:$C$2000=$A14)*(Lançamentos!$E$5:$E$2000="Despesa")*(YEAR(Lançamentos!$A$5:$A$2000)=$B$3)*(MONTH(Lançamentos!$A$5:$A$2000)=6)*Lançamentos!$G$5:$G$2000)</f>
        <v/>
      </c>
      <c r="S14" s="12">
        <f>Q14-R14</f>
        <v/>
      </c>
      <c r="T14" s="10" t="n">
        <v>0</v>
      </c>
      <c r="U14" s="11">
        <f>SUMPRODUCT((Lançamentos!$C$5:$C$2000=$A14)*(Lançamentos!$E$5:$E$2000="Despesa")*(YEAR(Lançamentos!$A$5:$A$2000)=$B$3)*(MONTH(Lançamentos!$A$5:$A$2000)=7)*Lançamentos!$G$5:$G$2000)</f>
        <v/>
      </c>
      <c r="V14" s="12">
        <f>T14-U14</f>
        <v/>
      </c>
      <c r="W14" s="10" t="n">
        <v>0</v>
      </c>
      <c r="X14" s="11">
        <f>SUMPRODUCT((Lançamentos!$C$5:$C$2000=$A14)*(Lançamentos!$E$5:$E$2000="Despesa")*(YEAR(Lançamentos!$A$5:$A$2000)=$B$3)*(MONTH(Lançamentos!$A$5:$A$2000)=8)*Lançamentos!$G$5:$G$2000)</f>
        <v/>
      </c>
      <c r="Y14" s="12">
        <f>W14-X14</f>
        <v/>
      </c>
      <c r="Z14" s="10" t="n">
        <v>0</v>
      </c>
      <c r="AA14" s="11">
        <f>SUMPRODUCT((Lançamentos!$C$5:$C$2000=$A14)*(Lançamentos!$E$5:$E$2000="Despesa")*(YEAR(Lançamentos!$A$5:$A$2000)=$B$3)*(MONTH(Lançamentos!$A$5:$A$2000)=9)*Lançamentos!$G$5:$G$2000)</f>
        <v/>
      </c>
      <c r="AB14" s="12">
        <f>Z14-AA14</f>
        <v/>
      </c>
      <c r="AC14" s="10" t="n">
        <v>0</v>
      </c>
      <c r="AD14" s="11">
        <f>SUMPRODUCT((Lançamentos!$C$5:$C$2000=$A14)*(Lançamentos!$E$5:$E$2000="Despesa")*(YEAR(Lançamentos!$A$5:$A$2000)=$B$3)*(MONTH(Lançamentos!$A$5:$A$2000)=10)*Lançamentos!$G$5:$G$2000)</f>
        <v/>
      </c>
      <c r="AE14" s="12">
        <f>AC14-AD14</f>
        <v/>
      </c>
      <c r="AF14" s="10" t="n">
        <v>0</v>
      </c>
      <c r="AG14" s="11">
        <f>SUMPRODUCT((Lançamentos!$C$5:$C$2000=$A14)*(Lançamentos!$E$5:$E$2000="Despesa")*(YEAR(Lançamentos!$A$5:$A$2000)=$B$3)*(MONTH(Lançamentos!$A$5:$A$2000)=11)*Lançamentos!$G$5:$G$2000)</f>
        <v/>
      </c>
      <c r="AH14" s="12">
        <f>AF14-AG14</f>
        <v/>
      </c>
      <c r="AI14" s="10" t="n">
        <v>0</v>
      </c>
      <c r="AJ14" s="11">
        <f>SUMPRODUCT((Lançamentos!$C$5:$C$2000=$A14)*(Lançamentos!$E$5:$E$2000="Despesa")*(YEAR(Lançamentos!$A$5:$A$2000)=$B$3)*(MONTH(Lançamentos!$A$5:$A$2000)=12)*Lançamentos!$G$5:$G$2000)</f>
        <v/>
      </c>
      <c r="AK14" s="12">
        <f>AI14-AJ14</f>
        <v/>
      </c>
    </row>
    <row r="15">
      <c r="A15" s="9" t="inlineStr">
        <is>
          <t>Transporte</t>
        </is>
      </c>
      <c r="B15" s="10" t="n">
        <v>0</v>
      </c>
      <c r="C15" s="11">
        <f>SUMPRODUCT((Lançamentos!$C$5:$C$2000=$A15)*(Lançamentos!$E$5:$E$2000="Despesa")*(YEAR(Lançamentos!$A$5:$A$2000)=$B$3)*(MONTH(Lançamentos!$A$5:$A$2000)=1)*Lançamentos!$G$5:$G$2000)</f>
        <v/>
      </c>
      <c r="D15" s="12">
        <f>B15-C15</f>
        <v/>
      </c>
      <c r="E15" s="10" t="n">
        <v>0</v>
      </c>
      <c r="F15" s="11">
        <f>SUMPRODUCT((Lançamentos!$C$5:$C$2000=$A15)*(Lançamentos!$E$5:$E$2000="Despesa")*(YEAR(Lançamentos!$A$5:$A$2000)=$B$3)*(MONTH(Lançamentos!$A$5:$A$2000)=2)*Lançamentos!$G$5:$G$2000)</f>
        <v/>
      </c>
      <c r="G15" s="12">
        <f>E15-F15</f>
        <v/>
      </c>
      <c r="H15" s="10" t="n">
        <v>0</v>
      </c>
      <c r="I15" s="11">
        <f>SUMPRODUCT((Lançamentos!$C$5:$C$2000=$A15)*(Lançamentos!$E$5:$E$2000="Despesa")*(YEAR(Lançamentos!$A$5:$A$2000)=$B$3)*(MONTH(Lançamentos!$A$5:$A$2000)=3)*Lançamentos!$G$5:$G$2000)</f>
        <v/>
      </c>
      <c r="J15" s="12">
        <f>H15-I15</f>
        <v/>
      </c>
      <c r="K15" s="10" t="n">
        <v>0</v>
      </c>
      <c r="L15" s="11">
        <f>SUMPRODUCT((Lançamentos!$C$5:$C$2000=$A15)*(Lançamentos!$E$5:$E$2000="Despesa")*(YEAR(Lançamentos!$A$5:$A$2000)=$B$3)*(MONTH(Lançamentos!$A$5:$A$2000)=4)*Lançamentos!$G$5:$G$2000)</f>
        <v/>
      </c>
      <c r="M15" s="12">
        <f>K15-L15</f>
        <v/>
      </c>
      <c r="N15" s="10" t="n">
        <v>0</v>
      </c>
      <c r="O15" s="11">
        <f>SUMPRODUCT((Lançamentos!$C$5:$C$2000=$A15)*(Lançamentos!$E$5:$E$2000="Despesa")*(YEAR(Lançamentos!$A$5:$A$2000)=$B$3)*(MONTH(Lançamentos!$A$5:$A$2000)=5)*Lançamentos!$G$5:$G$2000)</f>
        <v/>
      </c>
      <c r="P15" s="12">
        <f>N15-O15</f>
        <v/>
      </c>
      <c r="Q15" s="10" t="n">
        <v>0</v>
      </c>
      <c r="R15" s="11">
        <f>SUMPRODUCT((Lançamentos!$C$5:$C$2000=$A15)*(Lançamentos!$E$5:$E$2000="Despesa")*(YEAR(Lançamentos!$A$5:$A$2000)=$B$3)*(MONTH(Lançamentos!$A$5:$A$2000)=6)*Lançamentos!$G$5:$G$2000)</f>
        <v/>
      </c>
      <c r="S15" s="12">
        <f>Q15-R15</f>
        <v/>
      </c>
      <c r="T15" s="10" t="n">
        <v>0</v>
      </c>
      <c r="U15" s="11">
        <f>SUMPRODUCT((Lançamentos!$C$5:$C$2000=$A15)*(Lançamentos!$E$5:$E$2000="Despesa")*(YEAR(Lançamentos!$A$5:$A$2000)=$B$3)*(MONTH(Lançamentos!$A$5:$A$2000)=7)*Lançamentos!$G$5:$G$2000)</f>
        <v/>
      </c>
      <c r="V15" s="12">
        <f>T15-U15</f>
        <v/>
      </c>
      <c r="W15" s="10" t="n">
        <v>0</v>
      </c>
      <c r="X15" s="11">
        <f>SUMPRODUCT((Lançamentos!$C$5:$C$2000=$A15)*(Lançamentos!$E$5:$E$2000="Despesa")*(YEAR(Lançamentos!$A$5:$A$2000)=$B$3)*(MONTH(Lançamentos!$A$5:$A$2000)=8)*Lançamentos!$G$5:$G$2000)</f>
        <v/>
      </c>
      <c r="Y15" s="12">
        <f>W15-X15</f>
        <v/>
      </c>
      <c r="Z15" s="10" t="n">
        <v>0</v>
      </c>
      <c r="AA15" s="11">
        <f>SUMPRODUCT((Lançamentos!$C$5:$C$2000=$A15)*(Lançamentos!$E$5:$E$2000="Despesa")*(YEAR(Lançamentos!$A$5:$A$2000)=$B$3)*(MONTH(Lançamentos!$A$5:$A$2000)=9)*Lançamentos!$G$5:$G$2000)</f>
        <v/>
      </c>
      <c r="AB15" s="12">
        <f>Z15-AA15</f>
        <v/>
      </c>
      <c r="AC15" s="10" t="n">
        <v>0</v>
      </c>
      <c r="AD15" s="11">
        <f>SUMPRODUCT((Lançamentos!$C$5:$C$2000=$A15)*(Lançamentos!$E$5:$E$2000="Despesa")*(YEAR(Lançamentos!$A$5:$A$2000)=$B$3)*(MONTH(Lançamentos!$A$5:$A$2000)=10)*Lançamentos!$G$5:$G$2000)</f>
        <v/>
      </c>
      <c r="AE15" s="12">
        <f>AC15-AD15</f>
        <v/>
      </c>
      <c r="AF15" s="10" t="n">
        <v>0</v>
      </c>
      <c r="AG15" s="11">
        <f>SUMPRODUCT((Lançamentos!$C$5:$C$2000=$A15)*(Lançamentos!$E$5:$E$2000="Despesa")*(YEAR(Lançamentos!$A$5:$A$2000)=$B$3)*(MONTH(Lançamentos!$A$5:$A$2000)=11)*Lançamentos!$G$5:$G$2000)</f>
        <v/>
      </c>
      <c r="AH15" s="12">
        <f>AF15-AG15</f>
        <v/>
      </c>
      <c r="AI15" s="10" t="n">
        <v>0</v>
      </c>
      <c r="AJ15" s="11">
        <f>SUMPRODUCT((Lançamentos!$C$5:$C$2000=$A15)*(Lançamentos!$E$5:$E$2000="Despesa")*(YEAR(Lançamentos!$A$5:$A$2000)=$B$3)*(MONTH(Lançamentos!$A$5:$A$2000)=12)*Lançamentos!$G$5:$G$2000)</f>
        <v/>
      </c>
      <c r="AK15" s="12">
        <f>AI15-AJ15</f>
        <v/>
      </c>
    </row>
    <row r="16">
      <c r="A16" s="9" t="inlineStr">
        <is>
          <t>Vestuário</t>
        </is>
      </c>
      <c r="B16" s="10" t="n">
        <v>0</v>
      </c>
      <c r="C16" s="11">
        <f>SUMPRODUCT((Lançamentos!$C$5:$C$2000=$A16)*(Lançamentos!$E$5:$E$2000="Despesa")*(YEAR(Lançamentos!$A$5:$A$2000)=$B$3)*(MONTH(Lançamentos!$A$5:$A$2000)=1)*Lançamentos!$G$5:$G$2000)</f>
        <v/>
      </c>
      <c r="D16" s="12">
        <f>B16-C16</f>
        <v/>
      </c>
      <c r="E16" s="10" t="n">
        <v>0</v>
      </c>
      <c r="F16" s="11">
        <f>SUMPRODUCT((Lançamentos!$C$5:$C$2000=$A16)*(Lançamentos!$E$5:$E$2000="Despesa")*(YEAR(Lançamentos!$A$5:$A$2000)=$B$3)*(MONTH(Lançamentos!$A$5:$A$2000)=2)*Lançamentos!$G$5:$G$2000)</f>
        <v/>
      </c>
      <c r="G16" s="12">
        <f>E16-F16</f>
        <v/>
      </c>
      <c r="H16" s="10" t="n">
        <v>0</v>
      </c>
      <c r="I16" s="11">
        <f>SUMPRODUCT((Lançamentos!$C$5:$C$2000=$A16)*(Lançamentos!$E$5:$E$2000="Despesa")*(YEAR(Lançamentos!$A$5:$A$2000)=$B$3)*(MONTH(Lançamentos!$A$5:$A$2000)=3)*Lançamentos!$G$5:$G$2000)</f>
        <v/>
      </c>
      <c r="J16" s="12">
        <f>H16-I16</f>
        <v/>
      </c>
      <c r="K16" s="10" t="n">
        <v>0</v>
      </c>
      <c r="L16" s="11">
        <f>SUMPRODUCT((Lançamentos!$C$5:$C$2000=$A16)*(Lançamentos!$E$5:$E$2000="Despesa")*(YEAR(Lançamentos!$A$5:$A$2000)=$B$3)*(MONTH(Lançamentos!$A$5:$A$2000)=4)*Lançamentos!$G$5:$G$2000)</f>
        <v/>
      </c>
      <c r="M16" s="12">
        <f>K16-L16</f>
        <v/>
      </c>
      <c r="N16" s="10" t="n">
        <v>0</v>
      </c>
      <c r="O16" s="11">
        <f>SUMPRODUCT((Lançamentos!$C$5:$C$2000=$A16)*(Lançamentos!$E$5:$E$2000="Despesa")*(YEAR(Lançamentos!$A$5:$A$2000)=$B$3)*(MONTH(Lançamentos!$A$5:$A$2000)=5)*Lançamentos!$G$5:$G$2000)</f>
        <v/>
      </c>
      <c r="P16" s="12">
        <f>N16-O16</f>
        <v/>
      </c>
      <c r="Q16" s="10" t="n">
        <v>0</v>
      </c>
      <c r="R16" s="11">
        <f>SUMPRODUCT((Lançamentos!$C$5:$C$2000=$A16)*(Lançamentos!$E$5:$E$2000="Despesa")*(YEAR(Lançamentos!$A$5:$A$2000)=$B$3)*(MONTH(Lançamentos!$A$5:$A$2000)=6)*Lançamentos!$G$5:$G$2000)</f>
        <v/>
      </c>
      <c r="S16" s="12">
        <f>Q16-R16</f>
        <v/>
      </c>
      <c r="T16" s="10" t="n">
        <v>0</v>
      </c>
      <c r="U16" s="11">
        <f>SUMPRODUCT((Lançamentos!$C$5:$C$2000=$A16)*(Lançamentos!$E$5:$E$2000="Despesa")*(YEAR(Lançamentos!$A$5:$A$2000)=$B$3)*(MONTH(Lançamentos!$A$5:$A$2000)=7)*Lançamentos!$G$5:$G$2000)</f>
        <v/>
      </c>
      <c r="V16" s="12">
        <f>T16-U16</f>
        <v/>
      </c>
      <c r="W16" s="10" t="n">
        <v>0</v>
      </c>
      <c r="X16" s="11">
        <f>SUMPRODUCT((Lançamentos!$C$5:$C$2000=$A16)*(Lançamentos!$E$5:$E$2000="Despesa")*(YEAR(Lançamentos!$A$5:$A$2000)=$B$3)*(MONTH(Lançamentos!$A$5:$A$2000)=8)*Lançamentos!$G$5:$G$2000)</f>
        <v/>
      </c>
      <c r="Y16" s="12">
        <f>W16-X16</f>
        <v/>
      </c>
      <c r="Z16" s="10" t="n">
        <v>0</v>
      </c>
      <c r="AA16" s="11">
        <f>SUMPRODUCT((Lançamentos!$C$5:$C$2000=$A16)*(Lançamentos!$E$5:$E$2000="Despesa")*(YEAR(Lançamentos!$A$5:$A$2000)=$B$3)*(MONTH(Lançamentos!$A$5:$A$2000)=9)*Lançamentos!$G$5:$G$2000)</f>
        <v/>
      </c>
      <c r="AB16" s="12">
        <f>Z16-AA16</f>
        <v/>
      </c>
      <c r="AC16" s="10" t="n">
        <v>0</v>
      </c>
      <c r="AD16" s="11">
        <f>SUMPRODUCT((Lançamentos!$C$5:$C$2000=$A16)*(Lançamentos!$E$5:$E$2000="Despesa")*(YEAR(Lançamentos!$A$5:$A$2000)=$B$3)*(MONTH(Lançamentos!$A$5:$A$2000)=10)*Lançamentos!$G$5:$G$2000)</f>
        <v/>
      </c>
      <c r="AE16" s="12">
        <f>AC16-AD16</f>
        <v/>
      </c>
      <c r="AF16" s="10" t="n">
        <v>0</v>
      </c>
      <c r="AG16" s="11">
        <f>SUMPRODUCT((Lançamentos!$C$5:$C$2000=$A16)*(Lançamentos!$E$5:$E$2000="Despesa")*(YEAR(Lançamentos!$A$5:$A$2000)=$B$3)*(MONTH(Lançamentos!$A$5:$A$2000)=11)*Lançamentos!$G$5:$G$2000)</f>
        <v/>
      </c>
      <c r="AH16" s="12">
        <f>AF16-AG16</f>
        <v/>
      </c>
      <c r="AI16" s="10" t="n">
        <v>0</v>
      </c>
      <c r="AJ16" s="11">
        <f>SUMPRODUCT((Lançamentos!$C$5:$C$2000=$A16)*(Lançamentos!$E$5:$E$2000="Despesa")*(YEAR(Lançamentos!$A$5:$A$2000)=$B$3)*(MONTH(Lançamentos!$A$5:$A$2000)=12)*Lançamentos!$G$5:$G$2000)</f>
        <v/>
      </c>
      <c r="AK16" s="12">
        <f>AI16-AJ16</f>
        <v/>
      </c>
    </row>
    <row r="17">
      <c r="A17" s="7" t="inlineStr">
        <is>
          <t>Total</t>
        </is>
      </c>
      <c r="B17" s="13">
        <f>SUM(B6:B16)</f>
        <v/>
      </c>
      <c r="C17" s="13">
        <f>SUM(C6:C16)</f>
        <v/>
      </c>
      <c r="D17" s="14">
        <f>B17-C17</f>
        <v/>
      </c>
      <c r="E17" s="13">
        <f>SUM(E6:E16)</f>
        <v/>
      </c>
      <c r="F17" s="13">
        <f>SUM(F6:F16)</f>
        <v/>
      </c>
      <c r="G17" s="14">
        <f>E17-F17</f>
        <v/>
      </c>
      <c r="H17" s="13">
        <f>SUM(H6:H16)</f>
        <v/>
      </c>
      <c r="I17" s="13">
        <f>SUM(I6:I16)</f>
        <v/>
      </c>
      <c r="J17" s="14">
        <f>H17-I17</f>
        <v/>
      </c>
      <c r="K17" s="13">
        <f>SUM(K6:K16)</f>
        <v/>
      </c>
      <c r="L17" s="13">
        <f>SUM(L6:L16)</f>
        <v/>
      </c>
      <c r="M17" s="14">
        <f>K17-L17</f>
        <v/>
      </c>
      <c r="N17" s="13">
        <f>SUM(N6:N16)</f>
        <v/>
      </c>
      <c r="O17" s="13">
        <f>SUM(O6:O16)</f>
        <v/>
      </c>
      <c r="P17" s="14">
        <f>N17-O17</f>
        <v/>
      </c>
      <c r="Q17" s="13">
        <f>SUM(Q6:Q16)</f>
        <v/>
      </c>
      <c r="R17" s="13">
        <f>SUM(R6:R16)</f>
        <v/>
      </c>
      <c r="S17" s="14">
        <f>Q17-R17</f>
        <v/>
      </c>
      <c r="T17" s="13">
        <f>SUM(T6:T16)</f>
        <v/>
      </c>
      <c r="U17" s="13">
        <f>SUM(U6:U16)</f>
        <v/>
      </c>
      <c r="V17" s="14">
        <f>T17-U17</f>
        <v/>
      </c>
      <c r="W17" s="13">
        <f>SUM(W6:W16)</f>
        <v/>
      </c>
      <c r="X17" s="13">
        <f>SUM(X6:X16)</f>
        <v/>
      </c>
      <c r="Y17" s="14">
        <f>W17-X17</f>
        <v/>
      </c>
      <c r="Z17" s="13">
        <f>SUM(Z6:Z16)</f>
        <v/>
      </c>
      <c r="AA17" s="13">
        <f>SUM(AA6:AA16)</f>
        <v/>
      </c>
      <c r="AB17" s="14">
        <f>Z17-AA17</f>
        <v/>
      </c>
      <c r="AC17" s="13">
        <f>SUM(AC6:AC16)</f>
        <v/>
      </c>
      <c r="AD17" s="13">
        <f>SUM(AD6:AD16)</f>
        <v/>
      </c>
      <c r="AE17" s="14">
        <f>AC17-AD17</f>
        <v/>
      </c>
      <c r="AF17" s="13">
        <f>SUM(AF6:AF16)</f>
        <v/>
      </c>
      <c r="AG17" s="13">
        <f>SUM(AG6:AG16)</f>
        <v/>
      </c>
      <c r="AH17" s="14">
        <f>AF17-AG17</f>
        <v/>
      </c>
      <c r="AI17" s="13">
        <f>SUM(AI6:AI16)</f>
        <v/>
      </c>
      <c r="AJ17" s="13">
        <f>SUM(AJ6:AJ16)</f>
        <v/>
      </c>
      <c r="AK17" s="14">
        <f>AI17-AJ17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Resumo Financeiro</t>
        </is>
      </c>
    </row>
    <row r="2">
      <c r="A2" s="2" t="inlineStr">
        <is>
          <t>Visão consolidada a partir da aba Lançamentos. Ajuste o mês/ano de referência abaixo.</t>
        </is>
      </c>
    </row>
    <row r="4">
      <c r="A4" s="7" t="inlineStr">
        <is>
          <t>Mês de Referência (1-12):</t>
        </is>
      </c>
      <c r="B4" s="8" t="n">
        <v>8</v>
      </c>
    </row>
    <row r="5">
      <c r="A5" s="7" t="inlineStr">
        <is>
          <t>Ano de Referência:</t>
        </is>
      </c>
      <c r="B5" s="8" t="n">
        <v>2026</v>
      </c>
    </row>
    <row r="7">
      <c r="A7" s="7" t="inlineStr">
        <is>
          <t>Total Receitas (mês)</t>
        </is>
      </c>
      <c r="B7" s="15">
        <f>SUMPRODUCT((Lançamentos!$E$5:$E$2000="Receita")*(YEAR(Lançamentos!$A$5:$A$2000)=$B$5)*(MONTH(Lançamentos!$A$5:$A$2000)=$B$4)*Lançamentos!$G$5:$G$2000)</f>
        <v/>
      </c>
    </row>
    <row r="8">
      <c r="A8" s="7" t="inlineStr">
        <is>
          <t>Total Despesas (mês)</t>
        </is>
      </c>
      <c r="B8" s="15">
        <f>SUMPRODUCT((Lançamentos!$E$5:$E$2000="Despesa")*(YEAR(Lançamentos!$A$5:$A$2000)=$B$5)*(MONTH(Lançamentos!$A$5:$A$2000)=$B$4)*Lançamentos!$G$5:$G$2000)</f>
        <v/>
      </c>
    </row>
    <row r="9">
      <c r="A9" s="7" t="inlineStr">
        <is>
          <t>Saldo do Mês</t>
        </is>
      </c>
      <c r="B9" s="15">
        <f>B7-B8</f>
        <v/>
      </c>
    </row>
    <row r="10">
      <c r="A10" s="7" t="inlineStr">
        <is>
          <t>Total Geral Receitas (todos os meses)</t>
        </is>
      </c>
      <c r="B10" s="15">
        <f>SUMIF(Lançamentos!$E$5:$E$2000,"Receita",Lançamentos!$G$5:$G$2000)</f>
        <v/>
      </c>
    </row>
    <row r="11">
      <c r="A11" s="7" t="inlineStr">
        <is>
          <t>Total Geral Despesas (todos os meses)</t>
        </is>
      </c>
      <c r="B11" s="15">
        <f>SUMIF(Lançamentos!$E$5:$E$2000,"Despesa",Lançamentos!$G$5:$G$2000)</f>
        <v/>
      </c>
    </row>
    <row r="12">
      <c r="A12" s="7" t="inlineStr">
        <is>
          <t>Saldo Geral</t>
        </is>
      </c>
      <c r="B12" s="15">
        <f>B10-B11</f>
        <v/>
      </c>
    </row>
    <row r="14">
      <c r="A14" s="7" t="inlineStr">
        <is>
          <t>Gasto por Categoria (mês de referência)</t>
        </is>
      </c>
    </row>
    <row r="15">
      <c r="A15" s="3" t="inlineStr">
        <is>
          <t>Categoria</t>
        </is>
      </c>
      <c r="B15" s="3" t="inlineStr">
        <is>
          <t>Total Gasto</t>
        </is>
      </c>
    </row>
    <row r="16">
      <c r="A16" s="5" t="inlineStr">
        <is>
          <t>Alimentação</t>
        </is>
      </c>
      <c r="B16" s="11">
        <f>SUMPRODUCT((Lançamentos!$C$5:$C$2000="Alimentação")*(YEAR(Lançamentos!$A$5:$A$2000)=$B$5)*(MONTH(Lançamentos!$A$5:$A$2000)=$B$4)*Lançamentos!$G$5:$G$2000)</f>
        <v/>
      </c>
    </row>
    <row r="17">
      <c r="A17" s="5" t="inlineStr">
        <is>
          <t>Cartão de Crédito</t>
        </is>
      </c>
      <c r="B17" s="11">
        <f>SUMPRODUCT((Lançamentos!$C$5:$C$2000="Cartão de Crédito")*(YEAR(Lançamentos!$A$5:$A$2000)=$B$5)*(MONTH(Lançamentos!$A$5:$A$2000)=$B$4)*Lançamentos!$G$5:$G$2000)</f>
        <v/>
      </c>
    </row>
    <row r="18">
      <c r="A18" s="5" t="inlineStr">
        <is>
          <t>Dívidas</t>
        </is>
      </c>
      <c r="B18" s="11">
        <f>SUMPRODUCT((Lançamentos!$C$5:$C$2000="Dívidas")*(YEAR(Lançamentos!$A$5:$A$2000)=$B$5)*(MONTH(Lançamentos!$A$5:$A$2000)=$B$4)*Lançamentos!$G$5:$G$2000)</f>
        <v/>
      </c>
    </row>
    <row r="19">
      <c r="A19" s="5" t="inlineStr">
        <is>
          <t>Educação</t>
        </is>
      </c>
      <c r="B19" s="11">
        <f>SUMPRODUCT((Lançamentos!$C$5:$C$2000="Educação")*(YEAR(Lançamentos!$A$5:$A$2000)=$B$5)*(MONTH(Lançamentos!$A$5:$A$2000)=$B$4)*Lançamentos!$G$5:$G$2000)</f>
        <v/>
      </c>
    </row>
    <row r="20">
      <c r="A20" s="5" t="inlineStr">
        <is>
          <t>Investimentos</t>
        </is>
      </c>
      <c r="B20" s="11">
        <f>SUMPRODUCT((Lançamentos!$C$5:$C$2000="Investimentos")*(YEAR(Lançamentos!$A$5:$A$2000)=$B$5)*(MONTH(Lançamentos!$A$5:$A$2000)=$B$4)*Lançamentos!$G$5:$G$2000)</f>
        <v/>
      </c>
    </row>
    <row r="21">
      <c r="A21" s="5" t="inlineStr">
        <is>
          <t>Lazer</t>
        </is>
      </c>
      <c r="B21" s="11">
        <f>SUMPRODUCT((Lançamentos!$C$5:$C$2000="Lazer")*(YEAR(Lançamentos!$A$5:$A$2000)=$B$5)*(MONTH(Lançamentos!$A$5:$A$2000)=$B$4)*Lançamentos!$G$5:$G$2000)</f>
        <v/>
      </c>
    </row>
    <row r="22">
      <c r="A22" s="5" t="inlineStr">
        <is>
          <t>Moradia</t>
        </is>
      </c>
      <c r="B22" s="11">
        <f>SUMPRODUCT((Lançamentos!$C$5:$C$2000="Moradia")*(YEAR(Lançamentos!$A$5:$A$2000)=$B$5)*(MONTH(Lançamentos!$A$5:$A$2000)=$B$4)*Lançamentos!$G$5:$G$2000)</f>
        <v/>
      </c>
    </row>
    <row r="23">
      <c r="A23" s="5" t="inlineStr">
        <is>
          <t>Outros</t>
        </is>
      </c>
      <c r="B23" s="11">
        <f>SUMPRODUCT((Lançamentos!$C$5:$C$2000="Outros")*(YEAR(Lançamentos!$A$5:$A$2000)=$B$5)*(MONTH(Lançamentos!$A$5:$A$2000)=$B$4)*Lançamentos!$G$5:$G$2000)</f>
        <v/>
      </c>
    </row>
    <row r="24">
      <c r="A24" s="5" t="inlineStr">
        <is>
          <t>Saúde</t>
        </is>
      </c>
      <c r="B24" s="11">
        <f>SUMPRODUCT((Lançamentos!$C$5:$C$2000="Saúde")*(YEAR(Lançamentos!$A$5:$A$2000)=$B$5)*(MONTH(Lançamentos!$A$5:$A$2000)=$B$4)*Lançamentos!$G$5:$G$2000)</f>
        <v/>
      </c>
    </row>
    <row r="25">
      <c r="A25" s="5" t="inlineStr">
        <is>
          <t>Transporte</t>
        </is>
      </c>
      <c r="B25" s="11">
        <f>SUMPRODUCT((Lançamentos!$C$5:$C$2000="Transporte")*(YEAR(Lançamentos!$A$5:$A$2000)=$B$5)*(MONTH(Lançamentos!$A$5:$A$2000)=$B$4)*Lançamentos!$G$5:$G$2000)</f>
        <v/>
      </c>
    </row>
    <row r="26">
      <c r="A26" s="5" t="inlineStr">
        <is>
          <t>Vestuário</t>
        </is>
      </c>
      <c r="B26" s="11">
        <f>SUMPRODUCT((Lançamentos!$C$5:$C$2000="Vestuário")*(YEAR(Lançamentos!$A$5:$A$2000)=$B$5)*(MONTH(Lançamentos!$A$5:$A$2000)=$B$4)*Lançamentos!$G$5:$G$2000)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github-demo</dc:creator>
  <dcterms:created xsi:type="dcterms:W3CDTF">2026-08-04T12:31:10Z</dcterms:created>
  <dcterms:modified xsi:type="dcterms:W3CDTF">2026-08-04T15:18:59Z</dcterms:modified>
  <cp:lastModifiedBy>github-demo</cp:lastModifiedBy>
</cp:coreProperties>
</file>